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760" windowHeight="9060" activeTab="2"/>
  </bookViews>
  <sheets>
    <sheet name="使用说明" sheetId="1" r:id="rId1"/>
    <sheet name="基线" sheetId="2" r:id="rId2"/>
    <sheet name="第1组_基础主实验" sheetId="3" r:id="rId3"/>
    <sheet name="第2组_结构化策略" sheetId="4" r:id="rId4"/>
    <sheet name="第3组_恢复策略" sheetId="5" r:id="rId5"/>
    <sheet name="总清单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<sst xmlns="http://schemas.openxmlformats.org/spreadsheetml/2006/main" count="458" uniqueCount="143">
  <si>
    <t>剪枝实验登记工作簿</t>
  </si>
  <si>
    <t>工作表</t>
  </si>
  <si>
    <t>用途</t>
  </si>
  <si>
    <t>说明</t>
  </si>
  <si>
    <t>基线</t>
  </si>
  <si>
    <t>填写 B0 / B1 未剪枝基线</t>
  </si>
  <si>
    <t>先填写 Params、FLOPs、Latency、FPS、best mIoU、best mAcc、best aAcc</t>
  </si>
  <si>
    <t>总清单</t>
  </si>
  <si>
    <t>所有实验统一登记</t>
  </si>
  <si>
    <t>后续作图优先使用该表</t>
  </si>
  <si>
    <t>第1组_基础主实验</t>
  </si>
  <si>
    <t>backbone 与剪枝比例影响</t>
  </si>
  <si>
    <t>用于建立 backbone 容量—剪枝比例的基本对应关系</t>
  </si>
  <si>
    <t>第2组_结构化策略</t>
  </si>
  <si>
    <t>Uni / Global / Global Iso 影响</t>
  </si>
  <si>
    <t>用于分析结构协调性约束是否提升恢复上限</t>
  </si>
  <si>
    <t>第3组_恢复策略</t>
  </si>
  <si>
    <t>纯微调与蒸馏恢复对比</t>
  </si>
  <si>
    <t>用于比较微调、长周期微调和蒸馏的收益</t>
  </si>
  <si>
    <t>填写顺序</t>
  </si>
  <si>
    <t>建议流程</t>
  </si>
  <si>
    <t>先填“基线”，再填各分组，最后核对“总清单”并作图</t>
  </si>
  <si>
    <t>基线模型登记</t>
  </si>
  <si>
    <t>请先填写未剪枝 B0 / B1 的复杂度、速度与性能指标，其他工作表会据此计算相对基线变化量。</t>
  </si>
  <si>
    <t>基线标签</t>
  </si>
  <si>
    <t>Backbone</t>
  </si>
  <si>
    <t>Params(M)</t>
  </si>
  <si>
    <t>FLOPs(G)</t>
  </si>
  <si>
    <t>Latency(ms/img)</t>
  </si>
  <si>
    <t>FPS</t>
  </si>
  <si>
    <t>best mIoU(%)</t>
  </si>
  <si>
    <t>best mAcc(%)</t>
  </si>
  <si>
    <t>备注</t>
  </si>
  <si>
    <t>B0-Baseline</t>
  </si>
  <si>
    <t>B0</t>
  </si>
  <si>
    <t>未剪枝基线</t>
  </si>
  <si>
    <t>B1-Baseline</t>
  </si>
  <si>
    <t>B1</t>
  </si>
  <si>
    <t>第1组：基础主实验（backbone 与剪枝比例影响）</t>
  </si>
  <si>
    <r>
      <t>核心任务：建立不同剪枝比例下模型性能恢复的基本规律，用于分析</t>
    </r>
    <r>
      <rPr>
        <sz val="10"/>
        <rFont val="Calibri"/>
        <charset val="134"/>
      </rPr>
      <t xml:space="preserve"> backbone </t>
    </r>
    <r>
      <rPr>
        <sz val="10"/>
        <rFont val="宋体"/>
        <charset val="134"/>
      </rPr>
      <t>容量与剪枝比例之间的对应关系。</t>
    </r>
  </si>
  <si>
    <t>分组</t>
  </si>
  <si>
    <t>实验标签</t>
  </si>
  <si>
    <t>原始实验名</t>
  </si>
  <si>
    <t>剪枝对象</t>
  </si>
  <si>
    <t>剪枝比例(%)</t>
  </si>
  <si>
    <t>剪枝策略</t>
  </si>
  <si>
    <t>结构约束</t>
  </si>
  <si>
    <t>恢复方式</t>
  </si>
  <si>
    <t>训练epoch</t>
  </si>
  <si>
    <t>Params变化(%)</t>
  </si>
  <si>
    <t>FLOPs变化(%)</t>
  </si>
  <si>
    <t>相对基线ΔmIoU</t>
  </si>
  <si>
    <t>相对基线ΔmAcc</t>
  </si>
  <si>
    <t>第1组</t>
  </si>
  <si>
    <t>B1-MLP-10</t>
  </si>
  <si>
    <t>segformer_b1_mlp_gm_10</t>
  </si>
  <si>
    <t>MLP</t>
  </si>
  <si>
    <t>Local</t>
  </si>
  <si>
    <t>是</t>
  </si>
  <si>
    <t>无 / 直接评估</t>
  </si>
  <si>
    <t>NAN</t>
  </si>
  <si>
    <t>B1-MLP-30</t>
  </si>
  <si>
    <t>segformer_b1_mlp_gm_30</t>
  </si>
  <si>
    <t>B1-MLP-50</t>
  </si>
  <si>
    <t>segformer_b1_mlp_gm_50</t>
  </si>
  <si>
    <t>B1-MLP-70</t>
  </si>
  <si>
    <t>segformer_b1_mlp_gm_70</t>
  </si>
  <si>
    <t>B1-MLP-90</t>
  </si>
  <si>
    <t>segformer_b1_mlp_gm_90</t>
  </si>
  <si>
    <t xml:space="preserve"> </t>
  </si>
  <si>
    <t>B1-UNI-30</t>
  </si>
  <si>
    <t>segformer_b1_uni_gm_30_gi</t>
  </si>
  <si>
    <t>UNI</t>
  </si>
  <si>
    <t>Global+ISO</t>
  </si>
  <si>
    <t>否</t>
  </si>
  <si>
    <r>
      <t>第</t>
    </r>
    <r>
      <rPr>
        <sz val="11"/>
        <rFont val="Carlito"/>
        <charset val="134"/>
      </rPr>
      <t>1</t>
    </r>
    <r>
      <rPr>
        <sz val="11"/>
        <rFont val="宋体"/>
        <charset val="134"/>
      </rPr>
      <t>组</t>
    </r>
  </si>
  <si>
    <t>B1-UNI-50</t>
  </si>
  <si>
    <t>segformer_b1_uni_gm_50_gi</t>
  </si>
  <si>
    <r>
      <t>无</t>
    </r>
    <r>
      <rPr>
        <sz val="11"/>
        <rFont val="Carlito"/>
        <charset val="134"/>
      </rPr>
      <t xml:space="preserve"> / </t>
    </r>
    <r>
      <rPr>
        <sz val="11"/>
        <rFont val="宋体"/>
        <charset val="134"/>
      </rPr>
      <t>直接评估</t>
    </r>
  </si>
  <si>
    <t>B1-UNI-70</t>
  </si>
  <si>
    <t>segformer_b1_uni_gm_70_gi</t>
  </si>
  <si>
    <r>
      <t>第</t>
    </r>
    <r>
      <rPr>
        <b/>
        <sz val="14"/>
        <rFont val="Calibri"/>
        <charset val="134"/>
      </rPr>
      <t>2</t>
    </r>
    <r>
      <rPr>
        <b/>
        <sz val="14"/>
        <rFont val="宋体"/>
        <charset val="134"/>
      </rPr>
      <t>组：结构化策略实验（</t>
    </r>
    <r>
      <rPr>
        <b/>
        <sz val="14"/>
        <rFont val="Calibri"/>
        <charset val="134"/>
      </rPr>
      <t>Local / Global / Global Iso</t>
    </r>
    <r>
      <rPr>
        <b/>
        <sz val="14"/>
        <rFont val="宋体"/>
        <charset val="134"/>
      </rPr>
      <t>）</t>
    </r>
  </si>
  <si>
    <r>
      <t>核心任务：比较</t>
    </r>
    <r>
      <rPr>
        <sz val="10"/>
        <rFont val="Calibri"/>
        <charset val="134"/>
      </rPr>
      <t xml:space="preserve"> Local / Global Iso </t>
    </r>
    <r>
      <rPr>
        <sz val="10"/>
        <rFont val="宋体"/>
        <charset val="134"/>
      </rPr>
      <t>等结构协调性约束在中高压缩率下是否有利于模型恢复。</t>
    </r>
  </si>
  <si>
    <t>相对基线ΔaAcc</t>
  </si>
  <si>
    <t>第2组</t>
  </si>
  <si>
    <t>B1-MLP-30-Local</t>
  </si>
  <si>
    <t>B1-MLP-30-Global</t>
  </si>
  <si>
    <t>segformer_b1_mlp_gm_30_g</t>
  </si>
  <si>
    <t>Global</t>
  </si>
  <si>
    <t>B1-MLP-30-Global+ISO</t>
  </si>
  <si>
    <t>segformer_b1_mlp_gm_30_gi</t>
  </si>
  <si>
    <t>第3组：恢复策略实验（纯微调与蒸馏恢复对比）</t>
  </si>
  <si>
    <t>核心任务：比较纯微调、长周期微调以及蒸馏恢复的效果，并观察教师监督是否改变剪枝后模型的优化轨迹与恢复上限。</t>
  </si>
  <si>
    <r>
      <t>第</t>
    </r>
    <r>
      <rPr>
        <sz val="11"/>
        <rFont val="Carlito"/>
        <charset val="134"/>
      </rPr>
      <t>3</t>
    </r>
    <r>
      <rPr>
        <sz val="11"/>
        <rFont val="宋体"/>
        <charset val="134"/>
      </rPr>
      <t>组</t>
    </r>
    <r>
      <rPr>
        <sz val="11"/>
        <rFont val="Carlito"/>
        <charset val="134"/>
      </rPr>
      <t>(1)</t>
    </r>
  </si>
  <si>
    <t>MLP/FFN</t>
  </si>
  <si>
    <t>B1-MLP-90-FT</t>
  </si>
  <si>
    <t>segformer_b1_mlp_gm_90_ft</t>
  </si>
  <si>
    <t>微调</t>
  </si>
  <si>
    <r>
      <t>第</t>
    </r>
    <r>
      <rPr>
        <sz val="11"/>
        <rFont val="Carlito"/>
        <charset val="134"/>
      </rPr>
      <t>3</t>
    </r>
    <r>
      <rPr>
        <sz val="11"/>
        <rFont val="宋体"/>
        <charset val="134"/>
      </rPr>
      <t>组</t>
    </r>
    <r>
      <rPr>
        <sz val="11"/>
        <rFont val="Carlito"/>
        <charset val="134"/>
      </rPr>
      <t>(2)</t>
    </r>
  </si>
  <si>
    <t>B1-MLP-90-GI</t>
  </si>
  <si>
    <t>segformer_b1_mlp_gm_90_gi</t>
  </si>
  <si>
    <t>GLobal+ISO</t>
  </si>
  <si>
    <t>B1-MLP-90-GI-FT</t>
  </si>
  <si>
    <t>segformer_b1_mlp_gm_90_gi_ft</t>
  </si>
  <si>
    <r>
      <t>第</t>
    </r>
    <r>
      <rPr>
        <sz val="11"/>
        <rFont val="Carlito"/>
        <charset val="134"/>
      </rPr>
      <t>3</t>
    </r>
    <r>
      <rPr>
        <sz val="11"/>
        <rFont val="宋体"/>
        <charset val="134"/>
      </rPr>
      <t>组</t>
    </r>
    <r>
      <rPr>
        <sz val="11"/>
        <rFont val="Carlito"/>
        <charset val="134"/>
      </rPr>
      <t>(3)</t>
    </r>
  </si>
  <si>
    <t>B1-UNI-P-50-GI</t>
  </si>
  <si>
    <t>B1-UNI-P-50-GI-FT100</t>
  </si>
  <si>
    <t>segformer_b1_uni_gm_50_gi_ft</t>
  </si>
  <si>
    <r>
      <t>第</t>
    </r>
    <r>
      <rPr>
        <sz val="11"/>
        <rFont val="Carlito"/>
        <charset val="134"/>
      </rPr>
      <t>3</t>
    </r>
    <r>
      <rPr>
        <sz val="11"/>
        <rFont val="宋体"/>
        <charset val="134"/>
      </rPr>
      <t>组</t>
    </r>
    <r>
      <rPr>
        <sz val="11"/>
        <rFont val="Carlito"/>
        <charset val="134"/>
      </rPr>
      <t>(4)</t>
    </r>
  </si>
  <si>
    <t>第3组(4)</t>
  </si>
  <si>
    <t>B1-UNI-P-70-GI-FT50</t>
  </si>
  <si>
    <t>segformer_b1_uni_gm_70_gi_ft</t>
  </si>
  <si>
    <t>蒸馏实验</t>
  </si>
  <si>
    <r>
      <t>100epoch</t>
    </r>
    <r>
      <rPr>
        <sz val="11"/>
        <rFont val="宋体"/>
        <charset val="134"/>
      </rPr>
      <t>蒸馏正在</t>
    </r>
    <r>
      <rPr>
        <sz val="11"/>
        <rFont val="Carlito"/>
        <charset val="134"/>
      </rPr>
      <t>running</t>
    </r>
  </si>
  <si>
    <r>
      <t>第</t>
    </r>
    <r>
      <rPr>
        <sz val="11"/>
        <rFont val="Carlito"/>
        <charset val="134"/>
      </rPr>
      <t>3</t>
    </r>
    <r>
      <rPr>
        <sz val="11"/>
        <rFont val="宋体"/>
        <charset val="134"/>
      </rPr>
      <t>组</t>
    </r>
    <r>
      <rPr>
        <sz val="11"/>
        <rFont val="Carlito"/>
        <charset val="134"/>
      </rPr>
      <t>(5)</t>
    </r>
  </si>
  <si>
    <t>B1-UNI-P-50-GI-FT100-KD50-Logit</t>
  </si>
  <si>
    <t>segformer_b1_uni_gm_50_gi_ft_kd</t>
  </si>
  <si>
    <r>
      <t>微调</t>
    </r>
    <r>
      <rPr>
        <sz val="11"/>
        <rFont val="Carlito"/>
        <charset val="134"/>
      </rPr>
      <t>+</t>
    </r>
    <r>
      <rPr>
        <sz val="11"/>
        <rFont val="宋体"/>
        <charset val="134"/>
      </rPr>
      <t>蒸馏</t>
    </r>
  </si>
  <si>
    <r>
      <t>(</t>
    </r>
    <r>
      <rPr>
        <sz val="11"/>
        <rFont val="宋体"/>
        <charset val="134"/>
      </rPr>
      <t>这组只剪枝蒸馏了</t>
    </r>
    <r>
      <rPr>
        <sz val="11"/>
        <rFont val="Carlito"/>
        <charset val="134"/>
      </rPr>
      <t>50epoch)</t>
    </r>
  </si>
  <si>
    <t>B1-P50-KD50-Logit</t>
  </si>
  <si>
    <t>b1_p50_ft50_kd_logit</t>
  </si>
  <si>
    <t>微调 + 蒸馏</t>
  </si>
  <si>
    <t>实验总清单</t>
  </si>
  <si>
    <t>建议优先填写该表，后续绘制总览图、剪枝比例曲线图和精度-效率权衡图时可直接使用。</t>
  </si>
  <si>
    <t>final mIoU(%)</t>
  </si>
  <si>
    <t>best aAcc(%)</t>
  </si>
  <si>
    <t>GM</t>
  </si>
  <si>
    <t>B1-UNI-30-GI-FT</t>
  </si>
  <si>
    <t>segformer_b1_uni_gm_30_gi_ft</t>
  </si>
  <si>
    <t>GI</t>
  </si>
  <si>
    <t>B1-UNI-90-GI-FT</t>
  </si>
  <si>
    <t>segformer_b1_uni_gm_90_gi_ft</t>
  </si>
  <si>
    <t>第3组</t>
  </si>
  <si>
    <t>B1-MLP-10-FT</t>
  </si>
  <si>
    <t>segformer_b1_mlp_gm_10_ft</t>
  </si>
  <si>
    <t>B1-MLP-30-FT</t>
  </si>
  <si>
    <t>segformer_b1_mlp_gm_30_ft</t>
  </si>
  <si>
    <t>B1-UNI-P50-GlobalIso-FT100</t>
  </si>
  <si>
    <t>b1_uni_p50_global_iso</t>
  </si>
  <si>
    <t>Global Iso</t>
  </si>
  <si>
    <t>B1-UNI-P70-GlobalIso-FT60</t>
  </si>
  <si>
    <t>b1_uni_p70_global_iso</t>
  </si>
  <si>
    <t>GI / 剪枝模型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</si>
</sst>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4"/>
      <name val="Calibri"/>
      <charset val="134"/>
    </font>
    <font>
      <sz val="10"/>
      <name val="Calibri"/>
      <charset val="134"/>
    </font>
    <font>
      <b/>
      <sz val="11"/>
      <name val="Calibri"/>
      <charset val="134"/>
    </font>
    <font>
      <sz val="11"/>
      <name val="宋体"/>
      <charset val="134"/>
    </font>
    <font>
      <b/>
      <sz val="14"/>
      <name val="宋体"/>
      <charset val="134"/>
    </font>
    <font>
      <sz val="10"/>
      <name val="宋体"/>
      <charset val="134"/>
    </font>
    <font>
      <sz val="10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EF5F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auto="1"/>
      </bottom>
      <diagonal/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2" borderId="1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3" borderId="21" applyNumberFormat="0" applyAlignment="0" applyProtection="0">
      <alignment vertical="center"/>
    </xf>
    <xf numFmtId="0" fontId="19" fillId="14" borderId="22" applyNumberFormat="0" applyAlignment="0" applyProtection="0">
      <alignment vertical="center"/>
    </xf>
    <xf numFmtId="0" fontId="20" fillId="14" borderId="21" applyNumberFormat="0" applyAlignment="0" applyProtection="0">
      <alignment vertical="center"/>
    </xf>
    <xf numFmtId="0" fontId="21" fillId="15" borderId="23" applyNumberFormat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0" fillId="0" borderId="0"/>
  </cellStyleXfs>
  <cellXfs count="66">
    <xf numFmtId="0" fontId="0" fillId="0" borderId="0" xfId="49"/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2" fillId="3" borderId="1" xfId="49" applyNumberFormat="1" applyFont="1" applyFill="1" applyBorder="1" applyAlignment="1">
      <alignment horizontal="left" vertical="center" wrapText="1"/>
    </xf>
    <xf numFmtId="0" fontId="2" fillId="3" borderId="2" xfId="49" applyNumberFormat="1" applyFont="1" applyFill="1" applyBorder="1" applyAlignment="1">
      <alignment horizontal="left" vertical="center" wrapText="1"/>
    </xf>
    <xf numFmtId="0" fontId="2" fillId="3" borderId="3" xfId="49" applyNumberFormat="1" applyFont="1" applyFill="1" applyBorder="1" applyAlignment="1">
      <alignment horizontal="left" vertical="center" wrapText="1"/>
    </xf>
    <xf numFmtId="0" fontId="3" fillId="4" borderId="4" xfId="49" applyNumberFormat="1" applyFont="1" applyFill="1" applyBorder="1" applyAlignment="1">
      <alignment horizontal="center" vertical="center" wrapText="1"/>
    </xf>
    <xf numFmtId="0" fontId="3" fillId="4" borderId="5" xfId="49" applyNumberFormat="1" applyFont="1" applyFill="1" applyBorder="1" applyAlignment="1">
      <alignment horizontal="center" vertical="center" wrapText="1"/>
    </xf>
    <xf numFmtId="0" fontId="3" fillId="4" borderId="6" xfId="49" applyNumberFormat="1" applyFont="1" applyFill="1" applyBorder="1" applyAlignment="1">
      <alignment horizontal="center" vertical="center" wrapText="1"/>
    </xf>
    <xf numFmtId="0" fontId="0" fillId="5" borderId="7" xfId="49" applyNumberFormat="1" applyFont="1" applyFill="1" applyBorder="1"/>
    <xf numFmtId="0" fontId="0" fillId="5" borderId="8" xfId="49" applyNumberFormat="1" applyFont="1" applyFill="1" applyBorder="1"/>
    <xf numFmtId="2" fontId="0" fillId="5" borderId="8" xfId="49" applyNumberFormat="1" applyFont="1" applyFill="1" applyBorder="1"/>
    <xf numFmtId="2" fontId="0" fillId="6" borderId="8" xfId="49" applyNumberFormat="1" applyFont="1" applyFill="1" applyBorder="1"/>
    <xf numFmtId="2" fontId="0" fillId="7" borderId="8" xfId="49" applyNumberFormat="1" applyFont="1" applyFill="1" applyBorder="1"/>
    <xf numFmtId="0" fontId="0" fillId="8" borderId="9" xfId="49" applyNumberFormat="1" applyFont="1" applyFill="1" applyBorder="1"/>
    <xf numFmtId="0" fontId="0" fillId="5" borderId="10" xfId="49" applyNumberFormat="1" applyFont="1" applyFill="1" applyBorder="1"/>
    <xf numFmtId="0" fontId="0" fillId="5" borderId="11" xfId="49" applyNumberFormat="1" applyFont="1" applyFill="1" applyBorder="1"/>
    <xf numFmtId="2" fontId="0" fillId="5" borderId="11" xfId="49" applyNumberFormat="1" applyFont="1" applyFill="1" applyBorder="1"/>
    <xf numFmtId="2" fontId="0" fillId="6" borderId="11" xfId="49" applyNumberFormat="1" applyFont="1" applyFill="1" applyBorder="1"/>
    <xf numFmtId="2" fontId="0" fillId="7" borderId="11" xfId="49" applyNumberFormat="1" applyFont="1" applyFill="1" applyBorder="1"/>
    <xf numFmtId="0" fontId="0" fillId="8" borderId="12" xfId="49" applyNumberFormat="1" applyFont="1" applyFill="1" applyBorder="1"/>
    <xf numFmtId="0" fontId="0" fillId="5" borderId="13" xfId="49" applyNumberFormat="1" applyFont="1" applyFill="1" applyBorder="1"/>
    <xf numFmtId="0" fontId="0" fillId="5" borderId="14" xfId="49" applyNumberFormat="1" applyFont="1" applyFill="1" applyBorder="1"/>
    <xf numFmtId="2" fontId="0" fillId="5" borderId="14" xfId="49" applyNumberFormat="1" applyFont="1" applyFill="1" applyBorder="1"/>
    <xf numFmtId="2" fontId="0" fillId="6" borderId="14" xfId="49" applyNumberFormat="1" applyFont="1" applyFill="1" applyBorder="1"/>
    <xf numFmtId="2" fontId="0" fillId="7" borderId="14" xfId="49" applyNumberFormat="1" applyFont="1" applyFill="1" applyBorder="1"/>
    <xf numFmtId="0" fontId="0" fillId="8" borderId="15" xfId="49" applyNumberFormat="1" applyFont="1" applyFill="1" applyBorder="1"/>
    <xf numFmtId="0" fontId="3" fillId="9" borderId="5" xfId="49" applyNumberFormat="1" applyFont="1" applyFill="1" applyBorder="1" applyAlignment="1">
      <alignment horizontal="center" vertical="center" wrapText="1"/>
    </xf>
    <xf numFmtId="0" fontId="4" fillId="5" borderId="10" xfId="49" applyNumberFormat="1" applyFont="1" applyFill="1" applyBorder="1"/>
    <xf numFmtId="0" fontId="4" fillId="5" borderId="11" xfId="49" applyNumberFormat="1" applyFont="1" applyFill="1" applyBorder="1"/>
    <xf numFmtId="2" fontId="0" fillId="9" borderId="11" xfId="49" applyNumberFormat="1" applyFont="1" applyFill="1" applyBorder="1"/>
    <xf numFmtId="0" fontId="0" fillId="5" borderId="0" xfId="49" applyNumberFormat="1" applyFont="1" applyFill="1"/>
    <xf numFmtId="0" fontId="4" fillId="5" borderId="0" xfId="49" applyNumberFormat="1" applyFont="1" applyFill="1"/>
    <xf numFmtId="2" fontId="0" fillId="6" borderId="0" xfId="49" applyNumberFormat="1" applyFont="1" applyFill="1"/>
    <xf numFmtId="0" fontId="4" fillId="10" borderId="10" xfId="49" applyNumberFormat="1" applyFont="1" applyFill="1" applyBorder="1"/>
    <xf numFmtId="0" fontId="0" fillId="10" borderId="11" xfId="49" applyNumberFormat="1" applyFont="1" applyFill="1" applyBorder="1"/>
    <xf numFmtId="2" fontId="0" fillId="10" borderId="11" xfId="49" applyNumberFormat="1" applyFont="1" applyFill="1" applyBorder="1"/>
    <xf numFmtId="0" fontId="0" fillId="10" borderId="10" xfId="49" applyNumberFormat="1" applyFont="1" applyFill="1" applyBorder="1"/>
    <xf numFmtId="0" fontId="4" fillId="9" borderId="10" xfId="49" applyNumberFormat="1" applyFont="1" applyFill="1" applyBorder="1"/>
    <xf numFmtId="0" fontId="5" fillId="2" borderId="1" xfId="49" applyNumberFormat="1" applyFont="1" applyFill="1" applyBorder="1" applyAlignment="1">
      <alignment horizontal="left" vertical="center" wrapText="1"/>
    </xf>
    <xf numFmtId="0" fontId="6" fillId="3" borderId="1" xfId="49" applyNumberFormat="1" applyFont="1" applyFill="1" applyBorder="1" applyAlignment="1">
      <alignment horizontal="left" vertical="center" wrapText="1"/>
    </xf>
    <xf numFmtId="0" fontId="3" fillId="4" borderId="16" xfId="49" applyNumberFormat="1" applyFont="1" applyFill="1" applyBorder="1" applyAlignment="1">
      <alignment horizontal="center" vertical="center" wrapText="1"/>
    </xf>
    <xf numFmtId="0" fontId="3" fillId="4" borderId="17" xfId="49" applyNumberFormat="1" applyFont="1" applyFill="1" applyBorder="1" applyAlignment="1">
      <alignment horizontal="center" vertical="center" wrapText="1"/>
    </xf>
    <xf numFmtId="0" fontId="4" fillId="5" borderId="8" xfId="49" applyNumberFormat="1" applyFont="1" applyFill="1" applyBorder="1"/>
    <xf numFmtId="0" fontId="0" fillId="9" borderId="11" xfId="49" applyNumberFormat="1" applyFont="1" applyFill="1" applyBorder="1"/>
    <xf numFmtId="0" fontId="0" fillId="9" borderId="8" xfId="49" applyNumberFormat="1" applyFont="1" applyFill="1" applyBorder="1"/>
    <xf numFmtId="0" fontId="4" fillId="9" borderId="11" xfId="49" applyNumberFormat="1" applyFont="1" applyFill="1" applyBorder="1"/>
    <xf numFmtId="2" fontId="0" fillId="9" borderId="8" xfId="49" applyNumberFormat="1" applyFont="1" applyFill="1" applyBorder="1"/>
    <xf numFmtId="0" fontId="0" fillId="11" borderId="0" xfId="49" applyFont="1" applyFill="1"/>
    <xf numFmtId="0" fontId="7" fillId="0" borderId="7" xfId="49" applyNumberFormat="1" applyFont="1" applyFill="1" applyBorder="1" applyAlignment="1">
      <alignment vertical="center" wrapText="1"/>
    </xf>
    <xf numFmtId="0" fontId="7" fillId="0" borderId="8" xfId="49" applyNumberFormat="1" applyFont="1" applyFill="1" applyBorder="1" applyAlignment="1">
      <alignment vertical="center" wrapText="1"/>
    </xf>
    <xf numFmtId="0" fontId="7" fillId="6" borderId="8" xfId="49" applyNumberFormat="1" applyFont="1" applyFill="1" applyBorder="1" applyAlignment="1">
      <alignment vertical="center" wrapText="1"/>
    </xf>
    <xf numFmtId="0" fontId="7" fillId="6" borderId="14" xfId="49" applyNumberFormat="1" applyFont="1" applyFill="1" applyBorder="1" applyAlignment="1">
      <alignment vertical="center" wrapText="1"/>
    </xf>
    <xf numFmtId="0" fontId="7" fillId="8" borderId="9" xfId="49" applyNumberFormat="1" applyFont="1" applyFill="1" applyBorder="1" applyAlignment="1">
      <alignment vertical="center" wrapText="1"/>
    </xf>
    <xf numFmtId="0" fontId="7" fillId="0" borderId="13" xfId="49" applyNumberFormat="1" applyFont="1" applyFill="1" applyBorder="1" applyAlignment="1">
      <alignment vertical="center" wrapText="1"/>
    </xf>
    <xf numFmtId="0" fontId="7" fillId="0" borderId="14" xfId="49" applyNumberFormat="1" applyFont="1" applyFill="1" applyBorder="1" applyAlignment="1">
      <alignment vertical="center" wrapText="1"/>
    </xf>
    <xf numFmtId="0" fontId="7" fillId="8" borderId="15" xfId="49" applyNumberFormat="1" applyFont="1" applyFill="1" applyBorder="1" applyAlignment="1">
      <alignment vertical="center" wrapText="1"/>
    </xf>
    <xf numFmtId="0" fontId="8" fillId="4" borderId="4" xfId="49" applyNumberFormat="1" applyFont="1" applyFill="1" applyBorder="1" applyAlignment="1">
      <alignment horizontal="center" vertical="center" wrapText="1"/>
    </xf>
    <xf numFmtId="0" fontId="8" fillId="4" borderId="5" xfId="49" applyNumberFormat="1" applyFont="1" applyFill="1" applyBorder="1" applyAlignment="1">
      <alignment horizontal="center" vertical="center" wrapText="1"/>
    </xf>
    <xf numFmtId="0" fontId="8" fillId="4" borderId="6" xfId="49" applyNumberFormat="1" applyFont="1" applyFill="1" applyBorder="1" applyAlignment="1">
      <alignment horizontal="center" vertical="center" wrapText="1"/>
    </xf>
    <xf numFmtId="0" fontId="7" fillId="0" borderId="9" xfId="49" applyNumberFormat="1" applyFont="1" applyFill="1" applyBorder="1" applyAlignment="1">
      <alignment vertical="center" wrapText="1"/>
    </xf>
    <xf numFmtId="0" fontId="7" fillId="0" borderId="10" xfId="49" applyNumberFormat="1" applyFont="1" applyFill="1" applyBorder="1" applyAlignment="1">
      <alignment vertical="center" wrapText="1"/>
    </xf>
    <xf numFmtId="0" fontId="7" fillId="0" borderId="11" xfId="49" applyNumberFormat="1" applyFont="1" applyFill="1" applyBorder="1" applyAlignment="1">
      <alignment vertical="center" wrapText="1"/>
    </xf>
    <xf numFmtId="0" fontId="7" fillId="0" borderId="12" xfId="49" applyNumberFormat="1" applyFont="1" applyFill="1" applyBorder="1" applyAlignment="1">
      <alignment vertical="center" wrapText="1"/>
    </xf>
    <xf numFmtId="0" fontId="7" fillId="0" borderId="15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A1:H1"/>
    </sheetView>
  </sheetViews>
  <sheetFormatPr defaultColWidth="9" defaultRowHeight="13.8" outlineLevelCol="7"/>
  <cols>
    <col min="1" max="1" width="18" customWidth="1"/>
    <col min="2" max="2" width="22" customWidth="1"/>
    <col min="3" max="3" width="58" customWidth="1"/>
  </cols>
  <sheetData>
    <row r="1" ht="26" customHeight="1" spans="1:8">
      <c r="A1" s="40" t="s">
        <v>0</v>
      </c>
      <c r="B1" s="2"/>
      <c r="C1" s="2"/>
      <c r="D1" s="2"/>
      <c r="E1" s="2"/>
      <c r="F1" s="2"/>
      <c r="G1" s="2"/>
      <c r="H1" s="3"/>
    </row>
    <row r="3" ht="22" customHeight="1" spans="1:8">
      <c r="A3" s="58" t="s">
        <v>1</v>
      </c>
      <c r="B3" s="59" t="s">
        <v>2</v>
      </c>
      <c r="C3" s="60" t="s">
        <v>3</v>
      </c>
    </row>
    <row r="4" ht="22" customHeight="1" spans="1:8">
      <c r="A4" s="50" t="s">
        <v>4</v>
      </c>
      <c r="B4" s="51" t="s">
        <v>5</v>
      </c>
      <c r="C4" s="61" t="s">
        <v>6</v>
      </c>
    </row>
    <row r="5" ht="22" customHeight="1" spans="1:8">
      <c r="A5" s="62" t="s">
        <v>7</v>
      </c>
      <c r="B5" s="63" t="s">
        <v>8</v>
      </c>
      <c r="C5" s="64" t="s">
        <v>9</v>
      </c>
    </row>
    <row r="6" ht="22" customHeight="1" spans="1:8">
      <c r="A6" s="62" t="s">
        <v>10</v>
      </c>
      <c r="B6" s="63" t="s">
        <v>11</v>
      </c>
      <c r="C6" s="64" t="s">
        <v>12</v>
      </c>
    </row>
    <row r="7" ht="22" customHeight="1" spans="1:8">
      <c r="A7" s="62" t="s">
        <v>13</v>
      </c>
      <c r="B7" s="63" t="s">
        <v>14</v>
      </c>
      <c r="C7" s="64" t="s">
        <v>15</v>
      </c>
    </row>
    <row r="8" ht="22" customHeight="1" spans="1:8">
      <c r="A8" s="62" t="s">
        <v>16</v>
      </c>
      <c r="B8" s="63" t="s">
        <v>17</v>
      </c>
      <c r="C8" s="64" t="s">
        <v>18</v>
      </c>
    </row>
    <row r="9" ht="22" customHeight="1" spans="1:8">
      <c r="A9" s="55" t="s">
        <v>19</v>
      </c>
      <c r="B9" s="56" t="s">
        <v>20</v>
      </c>
      <c r="C9" s="65" t="s">
        <v>21</v>
      </c>
    </row>
  </sheetData>
  <mergeCells count="1">
    <mergeCell ref="A1:H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"/>
  <sheetViews>
    <sheetView topLeftCell="G1" workbookViewId="0">
      <selection activeCell="H5" sqref="H5"/>
    </sheetView>
  </sheetViews>
  <sheetFormatPr defaultColWidth="9" defaultRowHeight="13.8" outlineLevelRow="5"/>
  <cols>
    <col min="1" max="1" width="16" customWidth="1"/>
    <col min="2" max="2" width="10" customWidth="1"/>
    <col min="3" max="4" width="11" customWidth="1"/>
    <col min="5" max="5" width="15" customWidth="1"/>
    <col min="6" max="6" width="9" customWidth="1"/>
    <col min="7" max="8" width="12" customWidth="1"/>
    <col min="9" max="9" width="18" customWidth="1"/>
  </cols>
  <sheetData>
    <row r="1" ht="24" customHeight="1" spans="1:20">
      <c r="A1" s="1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34" customHeight="1" spans="1:20">
      <c r="A2" s="4" t="s">
        <v>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/>
    </row>
    <row r="3" ht="8" customHeight="1"/>
    <row r="4" ht="22" customHeight="1" spans="1:20">
      <c r="A4" s="7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  <c r="H4" s="8" t="s">
        <v>31</v>
      </c>
      <c r="I4" s="9" t="s">
        <v>32</v>
      </c>
    </row>
    <row r="5" ht="22" customHeight="1" spans="1:20">
      <c r="A5" s="50" t="s">
        <v>33</v>
      </c>
      <c r="B5" s="51" t="s">
        <v>34</v>
      </c>
      <c r="C5" s="52">
        <v>3.72</v>
      </c>
      <c r="D5" s="52">
        <v>7.95</v>
      </c>
      <c r="E5" s="52">
        <v>8.06</v>
      </c>
      <c r="F5" s="53">
        <v>124.09</v>
      </c>
      <c r="G5" s="52">
        <v>60.6</v>
      </c>
      <c r="H5" s="53">
        <v>72.98</v>
      </c>
      <c r="I5" s="54" t="s">
        <v>35</v>
      </c>
    </row>
    <row r="6" ht="22" customHeight="1" spans="1:20">
      <c r="A6" s="55" t="s">
        <v>36</v>
      </c>
      <c r="B6" s="56" t="s">
        <v>37</v>
      </c>
      <c r="C6" s="53">
        <v>13.68</v>
      </c>
      <c r="D6" s="53">
        <v>15.48</v>
      </c>
      <c r="E6" s="53">
        <v>8.07</v>
      </c>
      <c r="F6" s="53">
        <v>123.85</v>
      </c>
      <c r="G6" s="53">
        <v>62.66</v>
      </c>
      <c r="H6" s="53">
        <v>75.01</v>
      </c>
      <c r="I6" s="57" t="s">
        <v>35</v>
      </c>
    </row>
  </sheetData>
  <mergeCells count="2">
    <mergeCell ref="A1:T1"/>
    <mergeCell ref="A2:T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8"/>
  <sheetViews>
    <sheetView tabSelected="1" workbookViewId="0">
      <selection activeCell="A2" sqref="A2:U2"/>
    </sheetView>
  </sheetViews>
  <sheetFormatPr defaultColWidth="9" defaultRowHeight="13.8"/>
  <cols>
    <col min="1" max="1" width="6.7" customWidth="1"/>
    <col min="2" max="2" width="10.5" customWidth="1"/>
    <col min="3" max="3" width="25" customWidth="1"/>
    <col min="4" max="4" width="10" customWidth="1"/>
    <col min="5" max="5" width="5.2" customWidth="1"/>
    <col min="6" max="7" width="11" customWidth="1"/>
    <col min="8" max="8" width="15" customWidth="1"/>
    <col min="9" max="9" width="16" customWidth="1"/>
    <col min="10" max="10" width="10" customWidth="1"/>
    <col min="11" max="11" width="11" customWidth="1"/>
    <col min="12" max="12" width="12" customWidth="1"/>
    <col min="13" max="13" width="11" customWidth="1"/>
    <col min="14" max="14" width="12" customWidth="1"/>
    <col min="15" max="15" width="15" customWidth="1"/>
    <col min="16" max="16" width="9" customWidth="1"/>
    <col min="17" max="18" width="12" customWidth="1"/>
    <col min="19" max="20" width="14" customWidth="1"/>
    <col min="21" max="21" width="20" customWidth="1"/>
  </cols>
  <sheetData>
    <row r="1" ht="24" customHeight="1" spans="1:2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4" customHeight="1" spans="1:21">
      <c r="A2" s="41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8" customHeight="1"/>
    <row r="4" ht="24" customHeight="1" spans="1:21">
      <c r="A4" s="7" t="s">
        <v>40</v>
      </c>
      <c r="B4" s="8" t="s">
        <v>41</v>
      </c>
      <c r="C4" s="8" t="s">
        <v>42</v>
      </c>
      <c r="D4" s="8" t="s">
        <v>25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26</v>
      </c>
      <c r="L4" s="8" t="s">
        <v>49</v>
      </c>
      <c r="M4" s="8" t="s">
        <v>27</v>
      </c>
      <c r="N4" s="8" t="s">
        <v>50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51</v>
      </c>
      <c r="T4" s="8" t="s">
        <v>52</v>
      </c>
      <c r="U4" s="9" t="s">
        <v>32</v>
      </c>
    </row>
    <row r="5" ht="20" customHeight="1" spans="1:21">
      <c r="A5" s="10" t="s">
        <v>53</v>
      </c>
      <c r="B5" s="11" t="s">
        <v>54</v>
      </c>
      <c r="C5" s="11" t="s">
        <v>55</v>
      </c>
      <c r="D5" s="11" t="s">
        <v>37</v>
      </c>
      <c r="E5" s="11" t="s">
        <v>56</v>
      </c>
      <c r="F5" s="12">
        <v>10</v>
      </c>
      <c r="G5" s="11" t="s">
        <v>57</v>
      </c>
      <c r="H5" s="44" t="s">
        <v>58</v>
      </c>
      <c r="I5" s="11" t="s">
        <v>59</v>
      </c>
      <c r="J5" s="11" t="s">
        <v>60</v>
      </c>
      <c r="K5" s="13">
        <v>13.05</v>
      </c>
      <c r="L5" s="13">
        <f>IFERROR((1-K5/VLOOKUP(D5,基线!$B$5:$H$6,2,FALSE))*100,"")</f>
        <v>4.60526315789473</v>
      </c>
      <c r="M5" s="13">
        <v>15.07</v>
      </c>
      <c r="N5" s="13">
        <f>(M5-15.48)/M5*100</f>
        <v>-2.72063702720637</v>
      </c>
      <c r="O5" s="19">
        <v>8.73</v>
      </c>
      <c r="P5" s="13">
        <v>114.48</v>
      </c>
      <c r="Q5" s="13">
        <v>62.44</v>
      </c>
      <c r="R5" s="13">
        <v>75.19</v>
      </c>
      <c r="S5" s="14">
        <f>Q5-62.66</f>
        <v>-0.219999999999999</v>
      </c>
      <c r="T5" s="14">
        <f>R5-75.01</f>
        <v>0.179999999999993</v>
      </c>
      <c r="U5" s="15"/>
    </row>
    <row r="6" ht="20" customHeight="1" spans="1:21">
      <c r="A6" s="16" t="s">
        <v>53</v>
      </c>
      <c r="B6" s="17" t="s">
        <v>61</v>
      </c>
      <c r="C6" s="17" t="s">
        <v>62</v>
      </c>
      <c r="D6" s="17" t="s">
        <v>37</v>
      </c>
      <c r="E6" s="17" t="s">
        <v>56</v>
      </c>
      <c r="F6" s="18">
        <v>30</v>
      </c>
      <c r="G6" s="11" t="s">
        <v>57</v>
      </c>
      <c r="H6" s="30" t="s">
        <v>58</v>
      </c>
      <c r="I6" s="17" t="s">
        <v>59</v>
      </c>
      <c r="J6" s="11" t="s">
        <v>60</v>
      </c>
      <c r="K6" s="19">
        <v>11.82</v>
      </c>
      <c r="L6" s="19">
        <f>IFERROR((1-K6/VLOOKUP(D6,基线!$B$5:$H$6,2,FALSE))*100,"")</f>
        <v>13.5964912280702</v>
      </c>
      <c r="M6" s="19">
        <v>14.29</v>
      </c>
      <c r="N6" s="13">
        <f>(M6-15.48)/M6*100</f>
        <v>-8.32750174947517</v>
      </c>
      <c r="O6" s="19">
        <v>8.69</v>
      </c>
      <c r="P6" s="19">
        <v>115.08</v>
      </c>
      <c r="Q6" s="19">
        <v>60.27</v>
      </c>
      <c r="R6" s="19">
        <v>73.6</v>
      </c>
      <c r="S6" s="14">
        <f>Q6-62.66</f>
        <v>-2.38999999999999</v>
      </c>
      <c r="T6" s="14">
        <f>R6-75.01</f>
        <v>-1.41000000000001</v>
      </c>
      <c r="U6" s="21"/>
    </row>
    <row r="7" ht="20" customHeight="1" spans="1:21">
      <c r="A7" s="16" t="s">
        <v>53</v>
      </c>
      <c r="B7" s="17" t="s">
        <v>63</v>
      </c>
      <c r="C7" s="17" t="s">
        <v>64</v>
      </c>
      <c r="D7" s="17" t="s">
        <v>37</v>
      </c>
      <c r="E7" s="17" t="s">
        <v>56</v>
      </c>
      <c r="F7" s="18">
        <v>50</v>
      </c>
      <c r="G7" s="11" t="s">
        <v>57</v>
      </c>
      <c r="H7" s="30" t="s">
        <v>58</v>
      </c>
      <c r="I7" s="17" t="s">
        <v>59</v>
      </c>
      <c r="J7" s="11" t="s">
        <v>60</v>
      </c>
      <c r="K7" s="19">
        <v>10.59</v>
      </c>
      <c r="L7" s="19">
        <f>IFERROR((1-K7/VLOOKUP(D7,基线!$B$5:$H$6,2,FALSE))*100,"")</f>
        <v>22.5877192982456</v>
      </c>
      <c r="M7" s="19">
        <v>13.52</v>
      </c>
      <c r="N7" s="13">
        <f>(M7-15.48)/M7*100</f>
        <v>-14.4970414201184</v>
      </c>
      <c r="O7" s="19">
        <v>8.64</v>
      </c>
      <c r="P7" s="19">
        <v>115.78</v>
      </c>
      <c r="Q7" s="19">
        <v>55.98</v>
      </c>
      <c r="R7" s="19">
        <v>69.75</v>
      </c>
      <c r="S7" s="14">
        <f>Q7-62.66</f>
        <v>-6.68</v>
      </c>
      <c r="T7" s="14">
        <f>R7-75.01</f>
        <v>-5.26000000000001</v>
      </c>
      <c r="U7" s="21"/>
    </row>
    <row r="8" ht="20" customHeight="1" spans="1:21">
      <c r="A8" s="16" t="s">
        <v>53</v>
      </c>
      <c r="B8" s="17" t="s">
        <v>65</v>
      </c>
      <c r="C8" s="17" t="s">
        <v>66</v>
      </c>
      <c r="D8" s="17" t="s">
        <v>37</v>
      </c>
      <c r="E8" s="17" t="s">
        <v>56</v>
      </c>
      <c r="F8" s="18">
        <v>70</v>
      </c>
      <c r="G8" s="11" t="s">
        <v>57</v>
      </c>
      <c r="H8" s="30" t="s">
        <v>58</v>
      </c>
      <c r="I8" s="17" t="s">
        <v>59</v>
      </c>
      <c r="J8" s="11" t="s">
        <v>60</v>
      </c>
      <c r="K8" s="19">
        <v>9.34</v>
      </c>
      <c r="L8" s="19">
        <f>IFERROR((1-K8/VLOOKUP(D8,基线!$B$5:$H$6,2,FALSE))*100,"")</f>
        <v>31.7251461988304</v>
      </c>
      <c r="M8" s="19">
        <v>12.74</v>
      </c>
      <c r="N8" s="13">
        <f>(M8-15.48)/M8*100</f>
        <v>-21.5070643642072</v>
      </c>
      <c r="O8" s="19">
        <v>8.61</v>
      </c>
      <c r="P8" s="19">
        <v>116.08</v>
      </c>
      <c r="Q8" s="19">
        <v>46.79</v>
      </c>
      <c r="R8" s="19">
        <v>58.35</v>
      </c>
      <c r="S8" s="14">
        <f>Q8-62.66</f>
        <v>-15.87</v>
      </c>
      <c r="T8" s="14">
        <f>R8-75.01</f>
        <v>-16.66</v>
      </c>
      <c r="U8" s="21"/>
    </row>
    <row r="9" ht="20" customHeight="1" spans="1:21">
      <c r="A9" s="16" t="s">
        <v>53</v>
      </c>
      <c r="B9" s="17" t="s">
        <v>67</v>
      </c>
      <c r="C9" s="17" t="s">
        <v>68</v>
      </c>
      <c r="D9" s="17" t="s">
        <v>37</v>
      </c>
      <c r="E9" s="17" t="s">
        <v>56</v>
      </c>
      <c r="F9" s="18">
        <v>90</v>
      </c>
      <c r="G9" s="11" t="s">
        <v>57</v>
      </c>
      <c r="H9" s="30" t="s">
        <v>58</v>
      </c>
      <c r="I9" s="17" t="s">
        <v>59</v>
      </c>
      <c r="J9" s="11" t="s">
        <v>60</v>
      </c>
      <c r="K9" s="19">
        <v>8.09</v>
      </c>
      <c r="L9" s="19">
        <f>IFERROR((1-K9/VLOOKUP(D9,基线!$B$5:$H$6,2,FALSE))*100,"")</f>
        <v>40.8625730994152</v>
      </c>
      <c r="M9" s="19">
        <v>11.95</v>
      </c>
      <c r="N9" s="13">
        <f>(M9-15.48)/M9*100</f>
        <v>-29.5397489539749</v>
      </c>
      <c r="O9" s="19">
        <v>8.15</v>
      </c>
      <c r="P9" s="19">
        <v>122.65</v>
      </c>
      <c r="Q9" s="19">
        <v>27.13</v>
      </c>
      <c r="R9" s="19">
        <v>35.58</v>
      </c>
      <c r="S9" s="14">
        <f>Q9-62.66</f>
        <v>-35.53</v>
      </c>
      <c r="T9" s="14">
        <f>R9-75.01</f>
        <v>-39.43</v>
      </c>
      <c r="U9" s="21"/>
    </row>
    <row r="10" ht="20" customHeight="1" spans="1:21">
      <c r="A10" s="10" t="s">
        <v>69</v>
      </c>
      <c r="B10" s="17"/>
      <c r="C10" s="17"/>
      <c r="D10" s="17"/>
      <c r="E10" s="17"/>
      <c r="F10" s="18"/>
      <c r="G10" s="17"/>
      <c r="H10" s="17"/>
      <c r="I10" s="17"/>
      <c r="J10" s="17"/>
      <c r="K10" s="19"/>
      <c r="L10" s="19" t="str">
        <f>IFERROR((1-K10/VLOOKUP(D10,基线!$B$5:$H$6,2,FALSE))*100,"")</f>
        <v/>
      </c>
      <c r="M10" s="19"/>
      <c r="N10" s="13" t="s">
        <v>69</v>
      </c>
      <c r="O10" s="19"/>
      <c r="P10" s="19"/>
      <c r="Q10" s="19"/>
      <c r="R10" s="19"/>
      <c r="S10" s="14" t="s">
        <v>69</v>
      </c>
      <c r="T10" s="14" t="s">
        <v>69</v>
      </c>
      <c r="U10" s="21"/>
    </row>
    <row r="11" ht="20" customHeight="1" spans="1:21">
      <c r="A11" s="16" t="s">
        <v>53</v>
      </c>
      <c r="B11" s="17" t="s">
        <v>70</v>
      </c>
      <c r="C11" s="17" t="s">
        <v>71</v>
      </c>
      <c r="D11" s="11" t="s">
        <v>37</v>
      </c>
      <c r="E11" s="11" t="s">
        <v>72</v>
      </c>
      <c r="F11" s="12">
        <v>30</v>
      </c>
      <c r="G11" s="11" t="s">
        <v>73</v>
      </c>
      <c r="H11" s="11" t="s">
        <v>74</v>
      </c>
      <c r="I11" s="11" t="s">
        <v>59</v>
      </c>
      <c r="J11" s="11" t="s">
        <v>60</v>
      </c>
      <c r="K11" s="19">
        <v>6.56</v>
      </c>
      <c r="L11" s="19">
        <f>IFERROR((1-K11/VLOOKUP(D11,基线!$B$5:$H$6,2,FALSE))*100,"")</f>
        <v>52.046783625731</v>
      </c>
      <c r="M11" s="19">
        <v>10.91</v>
      </c>
      <c r="N11" s="13">
        <f>(M11-15.48)/M11*100</f>
        <v>-41.8881759853346</v>
      </c>
      <c r="O11" s="19">
        <v>8.67</v>
      </c>
      <c r="P11" s="19">
        <v>115.25</v>
      </c>
      <c r="Q11" s="19">
        <v>5.42</v>
      </c>
      <c r="R11" s="19">
        <v>12.16</v>
      </c>
      <c r="S11" s="14">
        <f>Q11-62.66</f>
        <v>-57.24</v>
      </c>
      <c r="T11" s="14">
        <f>R11-75.01</f>
        <v>-62.85</v>
      </c>
      <c r="U11" s="21"/>
    </row>
    <row r="12" ht="20" customHeight="1" spans="1:21">
      <c r="A12" s="39" t="s">
        <v>75</v>
      </c>
      <c r="B12" s="45" t="s">
        <v>76</v>
      </c>
      <c r="C12" s="45" t="s">
        <v>77</v>
      </c>
      <c r="D12" s="45" t="s">
        <v>37</v>
      </c>
      <c r="E12" s="46" t="s">
        <v>72</v>
      </c>
      <c r="F12" s="31">
        <v>50</v>
      </c>
      <c r="G12" s="46" t="s">
        <v>73</v>
      </c>
      <c r="H12" s="47" t="s">
        <v>74</v>
      </c>
      <c r="I12" s="47" t="s">
        <v>78</v>
      </c>
      <c r="J12" s="46" t="s">
        <v>60</v>
      </c>
      <c r="K12" s="31">
        <v>4.01</v>
      </c>
      <c r="L12" s="31">
        <f>IFERROR((1-K12/VLOOKUP(D12,基线!$B$5:$H$6,2,FALSE))*100,"")</f>
        <v>70.687134502924</v>
      </c>
      <c r="M12" s="31">
        <v>9.66</v>
      </c>
      <c r="N12" s="48">
        <f>(M12-15.48)/M12*100</f>
        <v>-60.2484472049689</v>
      </c>
      <c r="O12" s="31">
        <v>8.15</v>
      </c>
      <c r="P12" s="31">
        <v>122.6</v>
      </c>
      <c r="Q12" s="31">
        <v>5.09</v>
      </c>
      <c r="R12" s="31">
        <v>11.29</v>
      </c>
      <c r="S12" s="48">
        <f>Q12-62.66</f>
        <v>-57.57</v>
      </c>
      <c r="T12" s="48">
        <f>R12-75.01</f>
        <v>-63.72</v>
      </c>
      <c r="U12" s="21"/>
    </row>
    <row r="13" ht="20" customHeight="1" spans="1:21">
      <c r="A13" s="39" t="s">
        <v>75</v>
      </c>
      <c r="B13" s="45" t="s">
        <v>79</v>
      </c>
      <c r="C13" s="45" t="s">
        <v>80</v>
      </c>
      <c r="D13" s="45" t="s">
        <v>37</v>
      </c>
      <c r="E13" s="46" t="s">
        <v>72</v>
      </c>
      <c r="F13" s="31">
        <v>70</v>
      </c>
      <c r="G13" s="46" t="s">
        <v>73</v>
      </c>
      <c r="H13" s="47" t="s">
        <v>74</v>
      </c>
      <c r="I13" s="47" t="s">
        <v>78</v>
      </c>
      <c r="J13" s="46" t="s">
        <v>60</v>
      </c>
      <c r="K13" s="31">
        <v>1.91</v>
      </c>
      <c r="L13" s="31">
        <f>IFERROR((1-K13/VLOOKUP(D13,基线!$B$5:$H$6,2,FALSE))*100,"")</f>
        <v>86.0380116959064</v>
      </c>
      <c r="M13" s="31">
        <v>8.4</v>
      </c>
      <c r="N13" s="48">
        <f>(M13-15.48)/M13*100</f>
        <v>-84.2857142857143</v>
      </c>
      <c r="O13" s="31">
        <v>8.35</v>
      </c>
      <c r="P13" s="31">
        <v>119.71</v>
      </c>
      <c r="Q13" s="49">
        <v>7.06</v>
      </c>
      <c r="R13" s="49">
        <v>11.84</v>
      </c>
      <c r="S13" s="48">
        <f>Q13-62.66</f>
        <v>-55.6</v>
      </c>
      <c r="T13" s="48">
        <f>R13-75.01</f>
        <v>-63.17</v>
      </c>
      <c r="U13" s="21"/>
    </row>
    <row r="14" ht="20" customHeight="1" spans="1:21">
      <c r="A14" s="16"/>
      <c r="B14" s="17"/>
      <c r="C14" s="17"/>
      <c r="D14" s="17"/>
      <c r="E14" s="17"/>
      <c r="F14" s="18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4" t="s">
        <v>69</v>
      </c>
      <c r="T14" s="14" t="s">
        <v>69</v>
      </c>
      <c r="U14" s="21"/>
    </row>
    <row r="15" ht="20" customHeight="1" spans="1:21">
      <c r="A15" s="16"/>
      <c r="B15" s="17"/>
      <c r="C15" s="17"/>
      <c r="D15" s="17"/>
      <c r="E15" s="17"/>
      <c r="F15" s="18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4" t="s">
        <v>69</v>
      </c>
      <c r="T15" s="14" t="s">
        <v>69</v>
      </c>
      <c r="U15" s="21"/>
    </row>
    <row r="16" ht="20" customHeight="1" spans="1:21">
      <c r="A16" s="16"/>
      <c r="B16" s="17"/>
      <c r="C16" s="17"/>
      <c r="D16" s="17"/>
      <c r="E16" s="17"/>
      <c r="F16" s="18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4" t="s">
        <v>69</v>
      </c>
      <c r="T16" s="14" t="s">
        <v>69</v>
      </c>
      <c r="U16" s="21"/>
    </row>
    <row r="17" ht="20" customHeight="1" spans="1:21">
      <c r="A17" s="16"/>
      <c r="B17" s="17"/>
      <c r="C17" s="17"/>
      <c r="D17" s="17"/>
      <c r="E17" s="17"/>
      <c r="F17" s="18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4" t="s">
        <v>69</v>
      </c>
      <c r="T17" s="14" t="s">
        <v>69</v>
      </c>
      <c r="U17" s="21"/>
    </row>
    <row r="18" ht="20" customHeight="1" spans="1:21">
      <c r="A18" s="16"/>
      <c r="B18" s="17"/>
      <c r="C18" s="17"/>
      <c r="D18" s="17"/>
      <c r="E18" s="17"/>
      <c r="F18" s="18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4" t="s">
        <v>69</v>
      </c>
      <c r="T18" s="20"/>
      <c r="U18" s="21"/>
    </row>
    <row r="19" ht="20" customHeight="1" spans="1:21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20"/>
      <c r="T19" s="20"/>
      <c r="U19" s="21"/>
    </row>
    <row r="20" ht="20" customHeight="1" spans="1:21">
      <c r="A20" s="16"/>
      <c r="B20" s="17"/>
      <c r="C20" s="17"/>
      <c r="D20" s="17"/>
      <c r="E20" s="17"/>
      <c r="F20" s="18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20"/>
      <c r="T20" s="20"/>
      <c r="U20" s="21"/>
    </row>
    <row r="21" ht="20" customHeight="1" spans="1:21">
      <c r="A21" s="16"/>
      <c r="B21" s="17"/>
      <c r="C21" s="17"/>
      <c r="D21" s="17"/>
      <c r="E21" s="17"/>
      <c r="F21" s="18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20"/>
      <c r="T21" s="20"/>
      <c r="U21" s="21"/>
    </row>
    <row r="22" ht="20" customHeight="1" spans="1:21">
      <c r="A22" s="16"/>
      <c r="B22" s="17"/>
      <c r="C22" s="17"/>
      <c r="D22" s="17"/>
      <c r="E22" s="17"/>
      <c r="F22" s="18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20"/>
      <c r="T22" s="20"/>
      <c r="U22" s="21"/>
    </row>
    <row r="23" ht="20" customHeight="1" spans="1:21">
      <c r="A23" s="16"/>
      <c r="B23" s="17"/>
      <c r="C23" s="17"/>
      <c r="D23" s="17"/>
      <c r="E23" s="17"/>
      <c r="F23" s="18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20"/>
      <c r="T23" s="20"/>
      <c r="U23" s="21"/>
    </row>
    <row r="24" ht="20" customHeight="1" spans="1:21">
      <c r="A24" s="16"/>
      <c r="B24" s="17"/>
      <c r="C24" s="17"/>
      <c r="D24" s="17"/>
      <c r="E24" s="17"/>
      <c r="F24" s="18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20"/>
      <c r="T24" s="20"/>
      <c r="U24" s="21"/>
    </row>
    <row r="25" ht="20" customHeight="1" spans="1:21">
      <c r="A25" s="16"/>
      <c r="B25" s="17"/>
      <c r="C25" s="17"/>
      <c r="D25" s="17"/>
      <c r="E25" s="17"/>
      <c r="F25" s="18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20"/>
      <c r="T25" s="20"/>
      <c r="U25" s="21"/>
    </row>
    <row r="26" ht="20" customHeight="1" spans="1:21">
      <c r="A26" s="16"/>
      <c r="B26" s="17"/>
      <c r="C26" s="17"/>
      <c r="D26" s="17"/>
      <c r="E26" s="17"/>
      <c r="F26" s="18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20"/>
      <c r="T26" s="20"/>
      <c r="U26" s="21"/>
    </row>
    <row r="27" ht="20" customHeight="1" spans="1:21">
      <c r="A27" s="16"/>
      <c r="B27" s="17"/>
      <c r="C27" s="17"/>
      <c r="D27" s="17"/>
      <c r="E27" s="17"/>
      <c r="F27" s="18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20"/>
      <c r="T27" s="20"/>
      <c r="U27" s="21"/>
    </row>
    <row r="28" ht="20" customHeight="1" spans="1:21">
      <c r="A28" s="16"/>
      <c r="B28" s="17"/>
      <c r="C28" s="17"/>
      <c r="D28" s="17"/>
      <c r="E28" s="17"/>
      <c r="F28" s="18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20"/>
      <c r="T28" s="20"/>
      <c r="U28" s="21"/>
    </row>
    <row r="29" ht="20" customHeight="1" spans="1:21">
      <c r="A29" s="16"/>
      <c r="B29" s="17"/>
      <c r="C29" s="17"/>
      <c r="D29" s="17"/>
      <c r="E29" s="17"/>
      <c r="F29" s="18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20"/>
      <c r="T29" s="20"/>
      <c r="U29" s="21"/>
    </row>
    <row r="30" ht="20" customHeight="1" spans="1:21">
      <c r="A30" s="16"/>
      <c r="B30" s="17"/>
      <c r="C30" s="17"/>
      <c r="D30" s="17"/>
      <c r="E30" s="17"/>
      <c r="F30" s="18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20"/>
      <c r="T30" s="20"/>
      <c r="U30" s="21"/>
    </row>
    <row r="31" ht="20" customHeight="1" spans="1:21">
      <c r="A31" s="16"/>
      <c r="B31" s="17"/>
      <c r="C31" s="17"/>
      <c r="D31" s="17"/>
      <c r="E31" s="17"/>
      <c r="F31" s="18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20"/>
      <c r="T31" s="20"/>
      <c r="U31" s="21"/>
    </row>
    <row r="32" ht="20" customHeight="1" spans="1:21">
      <c r="A32" s="16"/>
      <c r="B32" s="17"/>
      <c r="C32" s="17"/>
      <c r="D32" s="17"/>
      <c r="E32" s="17"/>
      <c r="F32" s="18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20"/>
      <c r="T32" s="20"/>
      <c r="U32" s="21"/>
    </row>
    <row r="33" ht="20" customHeight="1" spans="1:21">
      <c r="A33" s="16"/>
      <c r="B33" s="17"/>
      <c r="C33" s="17"/>
      <c r="D33" s="17"/>
      <c r="E33" s="17"/>
      <c r="F33" s="18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20"/>
      <c r="T33" s="20"/>
      <c r="U33" s="21"/>
    </row>
    <row r="34" ht="20" customHeight="1" spans="1:21">
      <c r="A34" s="16"/>
      <c r="B34" s="17"/>
      <c r="C34" s="17"/>
      <c r="D34" s="17"/>
      <c r="E34" s="17"/>
      <c r="F34" s="18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20"/>
      <c r="T34" s="20"/>
      <c r="U34" s="21"/>
    </row>
    <row r="35" ht="20" customHeight="1" spans="1:21">
      <c r="A35" s="16"/>
      <c r="B35" s="17"/>
      <c r="C35" s="17"/>
      <c r="D35" s="17"/>
      <c r="E35" s="17"/>
      <c r="F35" s="18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20"/>
      <c r="T35" s="20"/>
      <c r="U35" s="21"/>
    </row>
    <row r="36" ht="20" customHeight="1" spans="1:21">
      <c r="A36" s="16"/>
      <c r="B36" s="17"/>
      <c r="C36" s="17"/>
      <c r="D36" s="17"/>
      <c r="E36" s="17"/>
      <c r="F36" s="18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20"/>
      <c r="T36" s="20"/>
      <c r="U36" s="21"/>
    </row>
    <row r="37" ht="20" customHeight="1" spans="1:21">
      <c r="A37" s="16"/>
      <c r="B37" s="17"/>
      <c r="C37" s="17"/>
      <c r="D37" s="17"/>
      <c r="E37" s="17"/>
      <c r="F37" s="18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20"/>
      <c r="T37" s="20"/>
      <c r="U37" s="21"/>
    </row>
    <row r="38" ht="20" customHeight="1" spans="1:21">
      <c r="A38" s="16"/>
      <c r="B38" s="17"/>
      <c r="C38" s="17"/>
      <c r="D38" s="17"/>
      <c r="E38" s="17"/>
      <c r="F38" s="18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20"/>
      <c r="T38" s="20"/>
      <c r="U38" s="21"/>
    </row>
    <row r="39" ht="20" customHeight="1" spans="1:21">
      <c r="A39" s="16"/>
      <c r="B39" s="17"/>
      <c r="C39" s="17"/>
      <c r="D39" s="17"/>
      <c r="E39" s="17"/>
      <c r="F39" s="18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20"/>
      <c r="T39" s="20"/>
      <c r="U39" s="21"/>
    </row>
    <row r="40" ht="20" customHeight="1" spans="1:21">
      <c r="A40" s="16"/>
      <c r="B40" s="17"/>
      <c r="C40" s="17"/>
      <c r="D40" s="17"/>
      <c r="E40" s="17"/>
      <c r="F40" s="18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20"/>
      <c r="T40" s="20"/>
      <c r="U40" s="21"/>
    </row>
    <row r="41" ht="20" customHeight="1" spans="1:21">
      <c r="A41" s="16"/>
      <c r="B41" s="17"/>
      <c r="C41" s="17"/>
      <c r="D41" s="17"/>
      <c r="E41" s="17"/>
      <c r="F41" s="18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20"/>
      <c r="T41" s="20"/>
      <c r="U41" s="21"/>
    </row>
    <row r="42" ht="20" customHeight="1" spans="1:21">
      <c r="A42" s="16"/>
      <c r="B42" s="17"/>
      <c r="C42" s="17"/>
      <c r="D42" s="17"/>
      <c r="E42" s="17"/>
      <c r="F42" s="18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20"/>
      <c r="T42" s="20"/>
      <c r="U42" s="21"/>
    </row>
    <row r="43" ht="20" customHeight="1" spans="1:21">
      <c r="A43" s="16"/>
      <c r="B43" s="17"/>
      <c r="C43" s="17"/>
      <c r="D43" s="17"/>
      <c r="E43" s="17"/>
      <c r="F43" s="18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20"/>
      <c r="T43" s="20"/>
      <c r="U43" s="21"/>
    </row>
    <row r="44" ht="20" customHeight="1" spans="1:21">
      <c r="A44" s="16"/>
      <c r="B44" s="17"/>
      <c r="C44" s="17"/>
      <c r="D44" s="17"/>
      <c r="E44" s="17"/>
      <c r="F44" s="18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20"/>
      <c r="T44" s="20"/>
      <c r="U44" s="21"/>
    </row>
    <row r="45" ht="20" customHeight="1" spans="1:21">
      <c r="A45" s="16"/>
      <c r="B45" s="17"/>
      <c r="C45" s="17"/>
      <c r="D45" s="17"/>
      <c r="E45" s="17"/>
      <c r="F45" s="18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20"/>
      <c r="T45" s="20"/>
      <c r="U45" s="21"/>
    </row>
    <row r="46" ht="20" customHeight="1" spans="1:21">
      <c r="A46" s="16"/>
      <c r="B46" s="17"/>
      <c r="C46" s="17"/>
      <c r="D46" s="17"/>
      <c r="E46" s="17"/>
      <c r="F46" s="18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20"/>
      <c r="T46" s="20"/>
      <c r="U46" s="21"/>
    </row>
    <row r="47" ht="20" customHeight="1" spans="1:21">
      <c r="A47" s="16"/>
      <c r="B47" s="17"/>
      <c r="C47" s="17"/>
      <c r="D47" s="17"/>
      <c r="E47" s="17"/>
      <c r="F47" s="18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20"/>
      <c r="T47" s="20"/>
      <c r="U47" s="21"/>
    </row>
    <row r="48" ht="20" customHeight="1" spans="1:21">
      <c r="A48" s="16"/>
      <c r="B48" s="17"/>
      <c r="C48" s="17"/>
      <c r="D48" s="17"/>
      <c r="E48" s="17"/>
      <c r="F48" s="18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20"/>
      <c r="T48" s="20"/>
      <c r="U48" s="21"/>
    </row>
    <row r="49" ht="20" customHeight="1" spans="1:21">
      <c r="A49" s="16"/>
      <c r="B49" s="17"/>
      <c r="C49" s="17"/>
      <c r="D49" s="17"/>
      <c r="E49" s="17"/>
      <c r="F49" s="18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20"/>
      <c r="T49" s="20"/>
      <c r="U49" s="21"/>
    </row>
    <row r="50" ht="20" customHeight="1" spans="1:21">
      <c r="A50" s="16"/>
      <c r="B50" s="17"/>
      <c r="C50" s="17"/>
      <c r="D50" s="17"/>
      <c r="E50" s="17"/>
      <c r="F50" s="18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20"/>
      <c r="T50" s="20"/>
      <c r="U50" s="21"/>
    </row>
    <row r="51" ht="20" customHeight="1" spans="1:21">
      <c r="A51" s="16"/>
      <c r="B51" s="17"/>
      <c r="C51" s="17"/>
      <c r="D51" s="17"/>
      <c r="E51" s="17"/>
      <c r="F51" s="18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20"/>
      <c r="T51" s="20"/>
      <c r="U51" s="21"/>
    </row>
    <row r="52" ht="20" customHeight="1" spans="1:21">
      <c r="A52" s="16"/>
      <c r="B52" s="17"/>
      <c r="C52" s="17"/>
      <c r="D52" s="17"/>
      <c r="E52" s="17"/>
      <c r="F52" s="18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20"/>
      <c r="T52" s="20"/>
      <c r="U52" s="21"/>
    </row>
    <row r="53" ht="20" customHeight="1" spans="1:21">
      <c r="A53" s="16"/>
      <c r="B53" s="17"/>
      <c r="C53" s="17"/>
      <c r="D53" s="17"/>
      <c r="E53" s="17"/>
      <c r="F53" s="18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20"/>
      <c r="T53" s="20"/>
      <c r="U53" s="21"/>
    </row>
    <row r="54" ht="20" customHeight="1" spans="1:21">
      <c r="A54" s="16"/>
      <c r="B54" s="17"/>
      <c r="C54" s="17"/>
      <c r="D54" s="17"/>
      <c r="E54" s="17"/>
      <c r="F54" s="18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20"/>
      <c r="T54" s="20"/>
      <c r="U54" s="21"/>
    </row>
    <row r="55" ht="20" customHeight="1" spans="1:21">
      <c r="A55" s="16"/>
      <c r="B55" s="17"/>
      <c r="C55" s="17"/>
      <c r="D55" s="17"/>
      <c r="E55" s="17"/>
      <c r="F55" s="18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20"/>
      <c r="T55" s="20"/>
      <c r="U55" s="21"/>
    </row>
    <row r="56" ht="20" customHeight="1" spans="1:21">
      <c r="A56" s="16"/>
      <c r="B56" s="17"/>
      <c r="C56" s="17"/>
      <c r="D56" s="17"/>
      <c r="E56" s="17"/>
      <c r="F56" s="18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20"/>
      <c r="T56" s="20"/>
      <c r="U56" s="21"/>
    </row>
    <row r="57" ht="20" customHeight="1" spans="1:21">
      <c r="A57" s="16"/>
      <c r="B57" s="17"/>
      <c r="C57" s="17"/>
      <c r="D57" s="17"/>
      <c r="E57" s="17"/>
      <c r="F57" s="18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20"/>
      <c r="T57" s="20"/>
      <c r="U57" s="21"/>
    </row>
    <row r="58" ht="20" customHeight="1" spans="1:21">
      <c r="A58" s="16"/>
      <c r="B58" s="17"/>
      <c r="C58" s="17"/>
      <c r="D58" s="17"/>
      <c r="E58" s="17"/>
      <c r="F58" s="18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20"/>
      <c r="T58" s="20"/>
      <c r="U58" s="21"/>
    </row>
    <row r="59" ht="20" customHeight="1" spans="1:21">
      <c r="A59" s="16"/>
      <c r="B59" s="17"/>
      <c r="C59" s="17"/>
      <c r="D59" s="17"/>
      <c r="E59" s="17"/>
      <c r="F59" s="18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20"/>
      <c r="T59" s="20"/>
      <c r="U59" s="21"/>
    </row>
    <row r="60" ht="20" customHeight="1" spans="1:21">
      <c r="A60" s="16"/>
      <c r="B60" s="17"/>
      <c r="C60" s="17"/>
      <c r="D60" s="17"/>
      <c r="E60" s="17"/>
      <c r="F60" s="18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20"/>
      <c r="T60" s="20"/>
      <c r="U60" s="21"/>
    </row>
    <row r="61" ht="20" customHeight="1" spans="1:21">
      <c r="A61" s="16"/>
      <c r="B61" s="17"/>
      <c r="C61" s="17"/>
      <c r="D61" s="17"/>
      <c r="E61" s="17"/>
      <c r="F61" s="18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20"/>
      <c r="T61" s="20"/>
      <c r="U61" s="21"/>
    </row>
    <row r="62" ht="20" customHeight="1" spans="1:21">
      <c r="A62" s="16"/>
      <c r="B62" s="17"/>
      <c r="C62" s="17"/>
      <c r="D62" s="17"/>
      <c r="E62" s="17"/>
      <c r="F62" s="18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20"/>
      <c r="T62" s="20"/>
      <c r="U62" s="21"/>
    </row>
    <row r="63" ht="20" customHeight="1" spans="1:21">
      <c r="A63" s="16"/>
      <c r="B63" s="17"/>
      <c r="C63" s="17"/>
      <c r="D63" s="17"/>
      <c r="E63" s="17"/>
      <c r="F63" s="18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20"/>
      <c r="T63" s="20"/>
      <c r="U63" s="21"/>
    </row>
    <row r="64" ht="20" customHeight="1" spans="1:21">
      <c r="A64" s="16"/>
      <c r="B64" s="17"/>
      <c r="C64" s="17"/>
      <c r="D64" s="17"/>
      <c r="E64" s="17"/>
      <c r="F64" s="18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20"/>
      <c r="T64" s="20"/>
      <c r="U64" s="21"/>
    </row>
    <row r="65" ht="20" customHeight="1" spans="1:21">
      <c r="A65" s="16"/>
      <c r="B65" s="17"/>
      <c r="C65" s="17"/>
      <c r="D65" s="17"/>
      <c r="E65" s="17"/>
      <c r="F65" s="18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20"/>
      <c r="T65" s="20"/>
      <c r="U65" s="21"/>
    </row>
    <row r="66" ht="20" customHeight="1" spans="1:21">
      <c r="A66" s="16"/>
      <c r="B66" s="17"/>
      <c r="C66" s="17"/>
      <c r="D66" s="17"/>
      <c r="E66" s="17"/>
      <c r="F66" s="18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0"/>
      <c r="T66" s="20"/>
      <c r="U66" s="21"/>
    </row>
    <row r="67" ht="20" customHeight="1" spans="1:21">
      <c r="A67" s="16"/>
      <c r="B67" s="17"/>
      <c r="C67" s="17"/>
      <c r="D67" s="17"/>
      <c r="E67" s="17"/>
      <c r="F67" s="18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0"/>
      <c r="T67" s="20"/>
      <c r="U67" s="21"/>
    </row>
    <row r="68" ht="20" customHeight="1" spans="1:21">
      <c r="A68" s="16"/>
      <c r="B68" s="17"/>
      <c r="C68" s="17"/>
      <c r="D68" s="17"/>
      <c r="E68" s="17"/>
      <c r="F68" s="18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0"/>
      <c r="T68" s="20"/>
      <c r="U68" s="21"/>
    </row>
    <row r="69" ht="20" customHeight="1" spans="1:21">
      <c r="A69" s="16"/>
      <c r="B69" s="17"/>
      <c r="C69" s="17"/>
      <c r="D69" s="17"/>
      <c r="E69" s="17"/>
      <c r="F69" s="18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0"/>
      <c r="T69" s="20"/>
      <c r="U69" s="21"/>
    </row>
    <row r="70" ht="20" customHeight="1" spans="1:21">
      <c r="A70" s="16"/>
      <c r="B70" s="17"/>
      <c r="C70" s="17"/>
      <c r="D70" s="17"/>
      <c r="E70" s="17"/>
      <c r="F70" s="18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0"/>
      <c r="T70" s="20"/>
      <c r="U70" s="21"/>
    </row>
    <row r="71" ht="20" customHeight="1" spans="1:21">
      <c r="A71" s="16"/>
      <c r="B71" s="17"/>
      <c r="C71" s="17"/>
      <c r="D71" s="17"/>
      <c r="E71" s="17"/>
      <c r="F71" s="18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0"/>
      <c r="T71" s="20"/>
      <c r="U71" s="21"/>
    </row>
    <row r="72" ht="20" customHeight="1" spans="1:21">
      <c r="A72" s="16"/>
      <c r="B72" s="17"/>
      <c r="C72" s="17"/>
      <c r="D72" s="17"/>
      <c r="E72" s="17"/>
      <c r="F72" s="18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0"/>
      <c r="T72" s="20"/>
      <c r="U72" s="21"/>
    </row>
    <row r="73" ht="20" customHeight="1" spans="1:21">
      <c r="A73" s="16"/>
      <c r="B73" s="17"/>
      <c r="C73" s="17"/>
      <c r="D73" s="17"/>
      <c r="E73" s="17"/>
      <c r="F73" s="18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0"/>
      <c r="T73" s="20"/>
      <c r="U73" s="21"/>
    </row>
    <row r="74" ht="20" customHeight="1" spans="1:21">
      <c r="A74" s="16"/>
      <c r="B74" s="17"/>
      <c r="C74" s="17"/>
      <c r="D74" s="17"/>
      <c r="E74" s="17"/>
      <c r="F74" s="18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0"/>
      <c r="T74" s="20"/>
      <c r="U74" s="21"/>
    </row>
    <row r="75" ht="20" customHeight="1" spans="1:21">
      <c r="A75" s="16"/>
      <c r="B75" s="17"/>
      <c r="C75" s="17"/>
      <c r="D75" s="17"/>
      <c r="E75" s="17"/>
      <c r="F75" s="18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0"/>
      <c r="T75" s="20"/>
      <c r="U75" s="21"/>
    </row>
    <row r="76" ht="20" customHeight="1" spans="1:21">
      <c r="A76" s="16"/>
      <c r="B76" s="17"/>
      <c r="C76" s="17"/>
      <c r="D76" s="17"/>
      <c r="E76" s="17"/>
      <c r="F76" s="18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0"/>
      <c r="T76" s="20"/>
      <c r="U76" s="21"/>
    </row>
    <row r="77" ht="20" customHeight="1" spans="1:21">
      <c r="A77" s="16"/>
      <c r="B77" s="17"/>
      <c r="C77" s="17"/>
      <c r="D77" s="17"/>
      <c r="E77" s="17"/>
      <c r="F77" s="18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0"/>
      <c r="T77" s="20"/>
      <c r="U77" s="21"/>
    </row>
    <row r="78" ht="20" customHeight="1" spans="1:21">
      <c r="A78" s="16"/>
      <c r="B78" s="17"/>
      <c r="C78" s="17"/>
      <c r="D78" s="17"/>
      <c r="E78" s="17"/>
      <c r="F78" s="18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0"/>
      <c r="T78" s="20"/>
      <c r="U78" s="21"/>
    </row>
    <row r="79" ht="20" customHeight="1" spans="1:21">
      <c r="A79" s="16"/>
      <c r="B79" s="17"/>
      <c r="C79" s="17"/>
      <c r="D79" s="17"/>
      <c r="E79" s="17"/>
      <c r="F79" s="18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0"/>
      <c r="T79" s="20"/>
      <c r="U79" s="21"/>
    </row>
    <row r="80" ht="20" customHeight="1" spans="1:21">
      <c r="A80" s="16"/>
      <c r="B80" s="17"/>
      <c r="C80" s="17"/>
      <c r="D80" s="17"/>
      <c r="E80" s="17"/>
      <c r="F80" s="18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20"/>
      <c r="T80" s="20"/>
      <c r="U80" s="21"/>
    </row>
    <row r="81" ht="20" customHeight="1" spans="1:21">
      <c r="A81" s="16"/>
      <c r="B81" s="17"/>
      <c r="C81" s="17"/>
      <c r="D81" s="17"/>
      <c r="E81" s="17"/>
      <c r="F81" s="18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0"/>
      <c r="T81" s="20"/>
      <c r="U81" s="21"/>
    </row>
    <row r="82" ht="20" customHeight="1" spans="1:21">
      <c r="A82" s="16"/>
      <c r="B82" s="17"/>
      <c r="C82" s="17"/>
      <c r="D82" s="17"/>
      <c r="E82" s="17"/>
      <c r="F82" s="18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0"/>
      <c r="T82" s="20"/>
      <c r="U82" s="21"/>
    </row>
    <row r="83" ht="20" customHeight="1" spans="1:21">
      <c r="A83" s="16"/>
      <c r="B83" s="17"/>
      <c r="C83" s="17"/>
      <c r="D83" s="17"/>
      <c r="E83" s="17"/>
      <c r="F83" s="18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20"/>
      <c r="T83" s="20"/>
      <c r="U83" s="21"/>
    </row>
    <row r="84" ht="20" customHeight="1" spans="1:21">
      <c r="A84" s="16"/>
      <c r="B84" s="17"/>
      <c r="C84" s="17"/>
      <c r="D84" s="17"/>
      <c r="E84" s="17"/>
      <c r="F84" s="18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0"/>
      <c r="T84" s="20"/>
      <c r="U84" s="21"/>
    </row>
    <row r="85" ht="20" customHeight="1" spans="1:21">
      <c r="A85" s="16"/>
      <c r="B85" s="17"/>
      <c r="C85" s="17"/>
      <c r="D85" s="17"/>
      <c r="E85" s="17"/>
      <c r="F85" s="18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0"/>
      <c r="T85" s="20"/>
      <c r="U85" s="21"/>
    </row>
    <row r="86" ht="20" customHeight="1" spans="1:21">
      <c r="A86" s="16"/>
      <c r="B86" s="17"/>
      <c r="C86" s="17"/>
      <c r="D86" s="17"/>
      <c r="E86" s="17"/>
      <c r="F86" s="18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0"/>
      <c r="T86" s="20"/>
      <c r="U86" s="21"/>
    </row>
    <row r="87" ht="20" customHeight="1" spans="1:21">
      <c r="A87" s="16"/>
      <c r="B87" s="17"/>
      <c r="C87" s="17"/>
      <c r="D87" s="17"/>
      <c r="E87" s="17"/>
      <c r="F87" s="18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0"/>
      <c r="T87" s="20"/>
      <c r="U87" s="21"/>
    </row>
    <row r="88" ht="20" customHeight="1" spans="1:21">
      <c r="A88" s="16"/>
      <c r="B88" s="17"/>
      <c r="C88" s="17"/>
      <c r="D88" s="17"/>
      <c r="E88" s="17"/>
      <c r="F88" s="18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0"/>
      <c r="T88" s="20"/>
      <c r="U88" s="21"/>
    </row>
    <row r="89" ht="20" customHeight="1" spans="1:21">
      <c r="A89" s="16"/>
      <c r="B89" s="17"/>
      <c r="C89" s="17"/>
      <c r="D89" s="17"/>
      <c r="E89" s="17"/>
      <c r="F89" s="18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0"/>
      <c r="T89" s="20"/>
      <c r="U89" s="21"/>
    </row>
    <row r="90" ht="20" customHeight="1" spans="1:21">
      <c r="A90" s="16"/>
      <c r="B90" s="17"/>
      <c r="C90" s="17"/>
      <c r="D90" s="17"/>
      <c r="E90" s="17"/>
      <c r="F90" s="18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0"/>
      <c r="T90" s="20"/>
      <c r="U90" s="21"/>
    </row>
    <row r="91" ht="20" customHeight="1" spans="1:21">
      <c r="A91" s="16"/>
      <c r="B91" s="17"/>
      <c r="C91" s="17"/>
      <c r="D91" s="17"/>
      <c r="E91" s="17"/>
      <c r="F91" s="18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0"/>
      <c r="T91" s="20"/>
      <c r="U91" s="21"/>
    </row>
    <row r="92" ht="20" customHeight="1" spans="1:21">
      <c r="A92" s="16"/>
      <c r="B92" s="17"/>
      <c r="C92" s="17"/>
      <c r="D92" s="17"/>
      <c r="E92" s="17"/>
      <c r="F92" s="18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0"/>
      <c r="T92" s="20"/>
      <c r="U92" s="21"/>
    </row>
    <row r="93" ht="20" customHeight="1" spans="1:21">
      <c r="A93" s="16"/>
      <c r="B93" s="17"/>
      <c r="C93" s="17"/>
      <c r="D93" s="17"/>
      <c r="E93" s="17"/>
      <c r="F93" s="18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0"/>
      <c r="T93" s="20"/>
      <c r="U93" s="21"/>
    </row>
    <row r="94" ht="20" customHeight="1" spans="1:21">
      <c r="A94" s="16"/>
      <c r="B94" s="17"/>
      <c r="C94" s="17"/>
      <c r="D94" s="17"/>
      <c r="E94" s="17"/>
      <c r="F94" s="18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20"/>
      <c r="T94" s="20"/>
      <c r="U94" s="21"/>
    </row>
    <row r="95" ht="20" customHeight="1" spans="1:21">
      <c r="A95" s="16"/>
      <c r="B95" s="17"/>
      <c r="C95" s="17"/>
      <c r="D95" s="17"/>
      <c r="E95" s="17"/>
      <c r="F95" s="18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20"/>
      <c r="T95" s="20"/>
      <c r="U95" s="21"/>
    </row>
    <row r="96" ht="20" customHeight="1" spans="1:21">
      <c r="A96" s="16"/>
      <c r="B96" s="17"/>
      <c r="C96" s="17"/>
      <c r="D96" s="17"/>
      <c r="E96" s="17"/>
      <c r="F96" s="18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20"/>
      <c r="T96" s="20"/>
      <c r="U96" s="21"/>
    </row>
    <row r="97" ht="20" customHeight="1" spans="1:21">
      <c r="A97" s="16"/>
      <c r="B97" s="17"/>
      <c r="C97" s="17"/>
      <c r="D97" s="17"/>
      <c r="E97" s="17"/>
      <c r="F97" s="18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20"/>
      <c r="T97" s="20"/>
      <c r="U97" s="21"/>
    </row>
    <row r="98" ht="20" customHeight="1" spans="1:21">
      <c r="A98" s="16"/>
      <c r="B98" s="17"/>
      <c r="C98" s="17"/>
      <c r="D98" s="17"/>
      <c r="E98" s="17"/>
      <c r="F98" s="18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20"/>
      <c r="T98" s="20"/>
      <c r="U98" s="21"/>
    </row>
    <row r="99" ht="20" customHeight="1" spans="1:21">
      <c r="A99" s="16"/>
      <c r="B99" s="17"/>
      <c r="C99" s="17"/>
      <c r="D99" s="17"/>
      <c r="E99" s="17"/>
      <c r="F99" s="18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20"/>
      <c r="T99" s="20"/>
      <c r="U99" s="21"/>
    </row>
    <row r="100" ht="20" customHeight="1" spans="1:21">
      <c r="A100" s="16"/>
      <c r="B100" s="17"/>
      <c r="C100" s="17"/>
      <c r="D100" s="17"/>
      <c r="E100" s="17"/>
      <c r="F100" s="18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20"/>
      <c r="T100" s="20"/>
      <c r="U100" s="21"/>
    </row>
    <row r="101" ht="20" customHeight="1" spans="1:21">
      <c r="A101" s="16"/>
      <c r="B101" s="17"/>
      <c r="C101" s="17"/>
      <c r="D101" s="17"/>
      <c r="E101" s="17"/>
      <c r="F101" s="18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20"/>
      <c r="T101" s="20"/>
      <c r="U101" s="21"/>
    </row>
    <row r="102" ht="20" customHeight="1" spans="1:21">
      <c r="A102" s="16"/>
      <c r="B102" s="17"/>
      <c r="C102" s="17"/>
      <c r="D102" s="17"/>
      <c r="E102" s="17"/>
      <c r="F102" s="18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20"/>
      <c r="T102" s="20"/>
      <c r="U102" s="21"/>
    </row>
    <row r="103" ht="20" customHeight="1" spans="1:21">
      <c r="A103" s="16"/>
      <c r="B103" s="17"/>
      <c r="C103" s="17"/>
      <c r="D103" s="17"/>
      <c r="E103" s="17"/>
      <c r="F103" s="18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20"/>
      <c r="T103" s="20"/>
      <c r="U103" s="21"/>
    </row>
    <row r="104" ht="20" customHeight="1" spans="1:21">
      <c r="A104" s="16"/>
      <c r="B104" s="17"/>
      <c r="C104" s="17"/>
      <c r="D104" s="17"/>
      <c r="E104" s="17"/>
      <c r="F104" s="18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20"/>
      <c r="T104" s="20"/>
      <c r="U104" s="21"/>
    </row>
    <row r="105" ht="20" customHeight="1" spans="1:21">
      <c r="A105" s="16"/>
      <c r="B105" s="17"/>
      <c r="C105" s="17"/>
      <c r="D105" s="17"/>
      <c r="E105" s="17"/>
      <c r="F105" s="18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20"/>
      <c r="T105" s="20"/>
      <c r="U105" s="21"/>
    </row>
    <row r="106" ht="20" customHeight="1" spans="1:21">
      <c r="A106" s="16"/>
      <c r="B106" s="17"/>
      <c r="C106" s="17"/>
      <c r="D106" s="17"/>
      <c r="E106" s="17"/>
      <c r="F106" s="18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20"/>
      <c r="T106" s="20"/>
      <c r="U106" s="21"/>
    </row>
    <row r="107" ht="20" customHeight="1" spans="1:21">
      <c r="A107" s="16"/>
      <c r="B107" s="17"/>
      <c r="C107" s="17"/>
      <c r="D107" s="17"/>
      <c r="E107" s="17"/>
      <c r="F107" s="18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20"/>
      <c r="T107" s="20"/>
      <c r="U107" s="21"/>
    </row>
    <row r="108" ht="20" customHeight="1" spans="1:21">
      <c r="A108" s="16"/>
      <c r="B108" s="17"/>
      <c r="C108" s="17"/>
      <c r="D108" s="17"/>
      <c r="E108" s="17"/>
      <c r="F108" s="18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20"/>
      <c r="T108" s="20"/>
      <c r="U108" s="21"/>
    </row>
    <row r="109" ht="20" customHeight="1" spans="1:21">
      <c r="A109" s="16"/>
      <c r="B109" s="17"/>
      <c r="C109" s="17"/>
      <c r="D109" s="17"/>
      <c r="E109" s="17"/>
      <c r="F109" s="18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20"/>
      <c r="T109" s="20"/>
      <c r="U109" s="21"/>
    </row>
    <row r="110" ht="20" customHeight="1" spans="1:21">
      <c r="A110" s="16"/>
      <c r="B110" s="17"/>
      <c r="C110" s="17"/>
      <c r="D110" s="17"/>
      <c r="E110" s="17"/>
      <c r="F110" s="18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0"/>
      <c r="T110" s="20"/>
      <c r="U110" s="21"/>
    </row>
    <row r="111" ht="20" customHeight="1" spans="1:21">
      <c r="A111" s="16"/>
      <c r="B111" s="17"/>
      <c r="C111" s="17"/>
      <c r="D111" s="17"/>
      <c r="E111" s="17"/>
      <c r="F111" s="18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0"/>
      <c r="T111" s="20"/>
      <c r="U111" s="21"/>
    </row>
    <row r="112" ht="20" customHeight="1" spans="1:21">
      <c r="A112" s="16"/>
      <c r="B112" s="17"/>
      <c r="C112" s="17"/>
      <c r="D112" s="17"/>
      <c r="E112" s="17"/>
      <c r="F112" s="18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0"/>
      <c r="T112" s="20"/>
      <c r="U112" s="21"/>
    </row>
    <row r="113" ht="20" customHeight="1" spans="1:21">
      <c r="A113" s="16"/>
      <c r="B113" s="17"/>
      <c r="C113" s="17"/>
      <c r="D113" s="17"/>
      <c r="E113" s="17"/>
      <c r="F113" s="18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0"/>
      <c r="T113" s="20"/>
      <c r="U113" s="21"/>
    </row>
    <row r="114" ht="20" customHeight="1" spans="1:21">
      <c r="A114" s="16"/>
      <c r="B114" s="17"/>
      <c r="C114" s="17"/>
      <c r="D114" s="17"/>
      <c r="E114" s="17"/>
      <c r="F114" s="18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0"/>
      <c r="T114" s="20"/>
      <c r="U114" s="21"/>
    </row>
    <row r="115" ht="20" customHeight="1" spans="1:21">
      <c r="A115" s="16"/>
      <c r="B115" s="17"/>
      <c r="C115" s="17"/>
      <c r="D115" s="17"/>
      <c r="E115" s="17"/>
      <c r="F115" s="18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0"/>
      <c r="T115" s="20"/>
      <c r="U115" s="21"/>
    </row>
    <row r="116" ht="20" customHeight="1" spans="1:21">
      <c r="A116" s="16"/>
      <c r="B116" s="17"/>
      <c r="C116" s="17"/>
      <c r="D116" s="17"/>
      <c r="E116" s="17"/>
      <c r="F116" s="18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0"/>
      <c r="T116" s="20"/>
      <c r="U116" s="21"/>
    </row>
    <row r="117" ht="20" customHeight="1" spans="1:21">
      <c r="A117" s="16"/>
      <c r="B117" s="17"/>
      <c r="C117" s="17"/>
      <c r="D117" s="17"/>
      <c r="E117" s="17"/>
      <c r="F117" s="18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0"/>
      <c r="T117" s="20"/>
      <c r="U117" s="21"/>
    </row>
    <row r="118" ht="20" customHeight="1" spans="1:21">
      <c r="A118" s="16"/>
      <c r="B118" s="17"/>
      <c r="C118" s="17"/>
      <c r="D118" s="17"/>
      <c r="E118" s="17"/>
      <c r="F118" s="18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0"/>
      <c r="T118" s="20"/>
      <c r="U118" s="21"/>
    </row>
    <row r="119" ht="20" customHeight="1" spans="1:21">
      <c r="A119" s="16"/>
      <c r="B119" s="17"/>
      <c r="C119" s="17"/>
      <c r="D119" s="17"/>
      <c r="E119" s="17"/>
      <c r="F119" s="18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0"/>
      <c r="T119" s="20"/>
      <c r="U119" s="21"/>
    </row>
    <row r="120" ht="20" customHeight="1" spans="1:21">
      <c r="A120" s="16"/>
      <c r="B120" s="17"/>
      <c r="C120" s="17"/>
      <c r="D120" s="17"/>
      <c r="E120" s="17"/>
      <c r="F120" s="18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0"/>
      <c r="T120" s="20"/>
      <c r="U120" s="21"/>
    </row>
    <row r="121" ht="20" customHeight="1" spans="1:21">
      <c r="A121" s="16"/>
      <c r="B121" s="17"/>
      <c r="C121" s="17"/>
      <c r="D121" s="17"/>
      <c r="E121" s="17"/>
      <c r="F121" s="18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0"/>
      <c r="T121" s="20"/>
      <c r="U121" s="21"/>
    </row>
    <row r="122" ht="20" customHeight="1" spans="1:21">
      <c r="A122" s="16"/>
      <c r="B122" s="17"/>
      <c r="C122" s="17"/>
      <c r="D122" s="17"/>
      <c r="E122" s="17"/>
      <c r="F122" s="18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0"/>
      <c r="T122" s="20"/>
      <c r="U122" s="21"/>
    </row>
    <row r="123" ht="20" customHeight="1" spans="1:21">
      <c r="A123" s="16"/>
      <c r="B123" s="17"/>
      <c r="C123" s="17"/>
      <c r="D123" s="17"/>
      <c r="E123" s="17"/>
      <c r="F123" s="18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0"/>
      <c r="T123" s="20"/>
      <c r="U123" s="21"/>
    </row>
    <row r="124" ht="20" customHeight="1" spans="1:21">
      <c r="A124" s="16"/>
      <c r="B124" s="17"/>
      <c r="C124" s="17"/>
      <c r="D124" s="17"/>
      <c r="E124" s="17"/>
      <c r="F124" s="18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0"/>
      <c r="T124" s="20"/>
      <c r="U124" s="21"/>
    </row>
    <row r="125" ht="20" customHeight="1" spans="1:21">
      <c r="A125" s="16"/>
      <c r="B125" s="17"/>
      <c r="C125" s="17"/>
      <c r="D125" s="17"/>
      <c r="E125" s="17"/>
      <c r="F125" s="18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0"/>
      <c r="T125" s="20"/>
      <c r="U125" s="21"/>
    </row>
    <row r="126" ht="20" customHeight="1" spans="1:21">
      <c r="A126" s="16"/>
      <c r="B126" s="17"/>
      <c r="C126" s="17"/>
      <c r="D126" s="17"/>
      <c r="E126" s="17"/>
      <c r="F126" s="18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0"/>
      <c r="T126" s="20"/>
      <c r="U126" s="21"/>
    </row>
    <row r="127" ht="20" customHeight="1" spans="1:21">
      <c r="A127" s="16"/>
      <c r="B127" s="17"/>
      <c r="C127" s="17"/>
      <c r="D127" s="17"/>
      <c r="E127" s="17"/>
      <c r="F127" s="18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0"/>
      <c r="T127" s="20"/>
      <c r="U127" s="21"/>
    </row>
    <row r="128" ht="20" customHeight="1" spans="1:21">
      <c r="A128" s="16"/>
      <c r="B128" s="17"/>
      <c r="C128" s="17"/>
      <c r="D128" s="17"/>
      <c r="E128" s="17"/>
      <c r="F128" s="18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0"/>
      <c r="T128" s="20"/>
      <c r="U128" s="21"/>
    </row>
    <row r="129" ht="20" customHeight="1" spans="1:21">
      <c r="A129" s="16"/>
      <c r="B129" s="17"/>
      <c r="C129" s="17"/>
      <c r="D129" s="17"/>
      <c r="E129" s="17"/>
      <c r="F129" s="18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0"/>
      <c r="T129" s="20"/>
      <c r="U129" s="21"/>
    </row>
    <row r="130" ht="20" customHeight="1" spans="1:21">
      <c r="A130" s="16"/>
      <c r="B130" s="17"/>
      <c r="C130" s="17"/>
      <c r="D130" s="17"/>
      <c r="E130" s="17"/>
      <c r="F130" s="18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0"/>
      <c r="T130" s="20"/>
      <c r="U130" s="21"/>
    </row>
    <row r="131" ht="20" customHeight="1" spans="1:21">
      <c r="A131" s="16"/>
      <c r="B131" s="17"/>
      <c r="C131" s="17"/>
      <c r="D131" s="17"/>
      <c r="E131" s="17"/>
      <c r="F131" s="18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0"/>
      <c r="T131" s="20"/>
      <c r="U131" s="21"/>
    </row>
    <row r="132" ht="20" customHeight="1" spans="1:21">
      <c r="A132" s="16"/>
      <c r="B132" s="17"/>
      <c r="C132" s="17"/>
      <c r="D132" s="17"/>
      <c r="E132" s="17"/>
      <c r="F132" s="18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0"/>
      <c r="T132" s="20"/>
      <c r="U132" s="21"/>
    </row>
    <row r="133" ht="20" customHeight="1" spans="1:21">
      <c r="A133" s="16"/>
      <c r="B133" s="17"/>
      <c r="C133" s="17"/>
      <c r="D133" s="17"/>
      <c r="E133" s="17"/>
      <c r="F133" s="18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0"/>
      <c r="T133" s="20"/>
      <c r="U133" s="21"/>
    </row>
    <row r="134" ht="20" customHeight="1" spans="1:21">
      <c r="A134" s="16"/>
      <c r="B134" s="17"/>
      <c r="C134" s="17"/>
      <c r="D134" s="17"/>
      <c r="E134" s="17"/>
      <c r="F134" s="18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0"/>
      <c r="T134" s="20"/>
      <c r="U134" s="21"/>
    </row>
    <row r="135" ht="20" customHeight="1" spans="1:21">
      <c r="A135" s="16"/>
      <c r="B135" s="17"/>
      <c r="C135" s="17"/>
      <c r="D135" s="17"/>
      <c r="E135" s="17"/>
      <c r="F135" s="18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0"/>
      <c r="T135" s="20"/>
      <c r="U135" s="21"/>
    </row>
    <row r="136" ht="20" customHeight="1" spans="1:21">
      <c r="A136" s="16"/>
      <c r="B136" s="17"/>
      <c r="C136" s="17"/>
      <c r="D136" s="17"/>
      <c r="E136" s="17"/>
      <c r="F136" s="18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0"/>
      <c r="T136" s="20"/>
      <c r="U136" s="21"/>
    </row>
    <row r="137" ht="20" customHeight="1" spans="1:21">
      <c r="A137" s="16"/>
      <c r="B137" s="17"/>
      <c r="C137" s="17"/>
      <c r="D137" s="17"/>
      <c r="E137" s="17"/>
      <c r="F137" s="18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0"/>
      <c r="T137" s="20"/>
      <c r="U137" s="21"/>
    </row>
    <row r="138" ht="20" customHeight="1" spans="1:21">
      <c r="A138" s="16"/>
      <c r="B138" s="17"/>
      <c r="C138" s="17"/>
      <c r="D138" s="17"/>
      <c r="E138" s="17"/>
      <c r="F138" s="18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0"/>
      <c r="T138" s="20"/>
      <c r="U138" s="21"/>
    </row>
    <row r="139" ht="20" customHeight="1" spans="1:21">
      <c r="A139" s="16"/>
      <c r="B139" s="17"/>
      <c r="C139" s="17"/>
      <c r="D139" s="17"/>
      <c r="E139" s="17"/>
      <c r="F139" s="18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0"/>
      <c r="T139" s="20"/>
      <c r="U139" s="21"/>
    </row>
    <row r="140" ht="20" customHeight="1" spans="1:21">
      <c r="A140" s="16"/>
      <c r="B140" s="17"/>
      <c r="C140" s="17"/>
      <c r="D140" s="17"/>
      <c r="E140" s="17"/>
      <c r="F140" s="18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0"/>
      <c r="T140" s="20"/>
      <c r="U140" s="21"/>
    </row>
    <row r="141" ht="20" customHeight="1" spans="1:21">
      <c r="A141" s="16"/>
      <c r="B141" s="17"/>
      <c r="C141" s="17"/>
      <c r="D141" s="17"/>
      <c r="E141" s="17"/>
      <c r="F141" s="18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0"/>
      <c r="T141" s="20"/>
      <c r="U141" s="21"/>
    </row>
    <row r="142" ht="20" customHeight="1" spans="1:21">
      <c r="A142" s="16"/>
      <c r="B142" s="17"/>
      <c r="C142" s="17"/>
      <c r="D142" s="17"/>
      <c r="E142" s="17"/>
      <c r="F142" s="18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0"/>
      <c r="T142" s="20"/>
      <c r="U142" s="21"/>
    </row>
    <row r="143" ht="20" customHeight="1" spans="1:21">
      <c r="A143" s="16"/>
      <c r="B143" s="17"/>
      <c r="C143" s="17"/>
      <c r="D143" s="17"/>
      <c r="E143" s="17"/>
      <c r="F143" s="18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0"/>
      <c r="T143" s="20"/>
      <c r="U143" s="21"/>
    </row>
    <row r="144" ht="20" customHeight="1" spans="1:21">
      <c r="A144" s="16"/>
      <c r="B144" s="17"/>
      <c r="C144" s="17"/>
      <c r="D144" s="17"/>
      <c r="E144" s="17"/>
      <c r="F144" s="18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0"/>
      <c r="T144" s="20"/>
      <c r="U144" s="21"/>
    </row>
    <row r="145" ht="20" customHeight="1" spans="1:21">
      <c r="A145" s="16"/>
      <c r="B145" s="17"/>
      <c r="C145" s="17"/>
      <c r="D145" s="17"/>
      <c r="E145" s="17"/>
      <c r="F145" s="18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0"/>
      <c r="T145" s="20"/>
      <c r="U145" s="21"/>
    </row>
    <row r="146" ht="20" customHeight="1" spans="1:21">
      <c r="A146" s="16"/>
      <c r="B146" s="17"/>
      <c r="C146" s="17"/>
      <c r="D146" s="17"/>
      <c r="E146" s="17"/>
      <c r="F146" s="18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0"/>
      <c r="T146" s="20"/>
      <c r="U146" s="21"/>
    </row>
    <row r="147" ht="20" customHeight="1" spans="1:21">
      <c r="A147" s="16"/>
      <c r="B147" s="17"/>
      <c r="C147" s="17"/>
      <c r="D147" s="17"/>
      <c r="E147" s="17"/>
      <c r="F147" s="18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0"/>
      <c r="T147" s="20"/>
      <c r="U147" s="21"/>
    </row>
    <row r="148" ht="20" customHeight="1" spans="1:21">
      <c r="A148" s="16"/>
      <c r="B148" s="17"/>
      <c r="C148" s="17"/>
      <c r="D148" s="17"/>
      <c r="E148" s="17"/>
      <c r="F148" s="18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0"/>
      <c r="T148" s="20"/>
      <c r="U148" s="21"/>
    </row>
    <row r="149" ht="20" customHeight="1" spans="1:21">
      <c r="A149" s="16"/>
      <c r="B149" s="17"/>
      <c r="C149" s="17"/>
      <c r="D149" s="17"/>
      <c r="E149" s="17"/>
      <c r="F149" s="18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0"/>
      <c r="T149" s="20"/>
      <c r="U149" s="21"/>
    </row>
    <row r="150" ht="20" customHeight="1" spans="1:21">
      <c r="A150" s="16"/>
      <c r="B150" s="17"/>
      <c r="C150" s="17"/>
      <c r="D150" s="17"/>
      <c r="E150" s="17"/>
      <c r="F150" s="18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0"/>
      <c r="T150" s="20"/>
      <c r="U150" s="21"/>
    </row>
    <row r="151" ht="20" customHeight="1" spans="1:21">
      <c r="A151" s="16"/>
      <c r="B151" s="17"/>
      <c r="C151" s="17"/>
      <c r="D151" s="17"/>
      <c r="E151" s="17"/>
      <c r="F151" s="18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0"/>
      <c r="T151" s="20"/>
      <c r="U151" s="21"/>
    </row>
    <row r="152" ht="20" customHeight="1" spans="1:21">
      <c r="A152" s="16"/>
      <c r="B152" s="17"/>
      <c r="C152" s="17"/>
      <c r="D152" s="17"/>
      <c r="E152" s="17"/>
      <c r="F152" s="18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0"/>
      <c r="T152" s="20"/>
      <c r="U152" s="21"/>
    </row>
    <row r="153" ht="20" customHeight="1" spans="1:21">
      <c r="A153" s="16"/>
      <c r="B153" s="17"/>
      <c r="C153" s="17"/>
      <c r="D153" s="17"/>
      <c r="E153" s="17"/>
      <c r="F153" s="18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0"/>
      <c r="T153" s="20"/>
      <c r="U153" s="21"/>
    </row>
    <row r="154" ht="20" customHeight="1" spans="1:21">
      <c r="A154" s="16"/>
      <c r="B154" s="17"/>
      <c r="C154" s="17"/>
      <c r="D154" s="17"/>
      <c r="E154" s="17"/>
      <c r="F154" s="18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0"/>
      <c r="T154" s="20"/>
      <c r="U154" s="21"/>
    </row>
    <row r="155" ht="20" customHeight="1" spans="1:21">
      <c r="A155" s="16"/>
      <c r="B155" s="17"/>
      <c r="C155" s="17"/>
      <c r="D155" s="17"/>
      <c r="E155" s="17"/>
      <c r="F155" s="18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0"/>
      <c r="T155" s="20"/>
      <c r="U155" s="21"/>
    </row>
    <row r="156" ht="20" customHeight="1" spans="1:21">
      <c r="A156" s="16"/>
      <c r="B156" s="17"/>
      <c r="C156" s="17"/>
      <c r="D156" s="17"/>
      <c r="E156" s="17"/>
      <c r="F156" s="18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0"/>
      <c r="T156" s="20"/>
      <c r="U156" s="21"/>
    </row>
    <row r="157" ht="20" customHeight="1" spans="1:21">
      <c r="A157" s="16"/>
      <c r="B157" s="17"/>
      <c r="C157" s="17"/>
      <c r="D157" s="17"/>
      <c r="E157" s="17"/>
      <c r="F157" s="18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0"/>
      <c r="T157" s="20"/>
      <c r="U157" s="21"/>
    </row>
    <row r="158" ht="20" customHeight="1" spans="1:21">
      <c r="A158" s="16"/>
      <c r="B158" s="17"/>
      <c r="C158" s="17"/>
      <c r="D158" s="17"/>
      <c r="E158" s="17"/>
      <c r="F158" s="18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0"/>
      <c r="T158" s="20"/>
      <c r="U158" s="21"/>
    </row>
    <row r="159" ht="20" customHeight="1" spans="1:21">
      <c r="A159" s="16"/>
      <c r="B159" s="17"/>
      <c r="C159" s="17"/>
      <c r="D159" s="17"/>
      <c r="E159" s="17"/>
      <c r="F159" s="18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0"/>
      <c r="T159" s="20"/>
      <c r="U159" s="21"/>
    </row>
    <row r="160" ht="20" customHeight="1" spans="1:21">
      <c r="A160" s="16"/>
      <c r="B160" s="17"/>
      <c r="C160" s="17"/>
      <c r="D160" s="17"/>
      <c r="E160" s="17"/>
      <c r="F160" s="18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0"/>
      <c r="T160" s="20"/>
      <c r="U160" s="21"/>
    </row>
    <row r="161" ht="20" customHeight="1" spans="1:21">
      <c r="A161" s="16"/>
      <c r="B161" s="17"/>
      <c r="C161" s="17"/>
      <c r="D161" s="17"/>
      <c r="E161" s="17"/>
      <c r="F161" s="18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0"/>
      <c r="T161" s="20"/>
      <c r="U161" s="21"/>
    </row>
    <row r="162" ht="20" customHeight="1" spans="1:21">
      <c r="A162" s="16"/>
      <c r="B162" s="17"/>
      <c r="C162" s="17"/>
      <c r="D162" s="17"/>
      <c r="E162" s="17"/>
      <c r="F162" s="18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0"/>
      <c r="T162" s="20"/>
      <c r="U162" s="21"/>
    </row>
    <row r="163" ht="20" customHeight="1" spans="1:21">
      <c r="A163" s="16"/>
      <c r="B163" s="17"/>
      <c r="C163" s="17"/>
      <c r="D163" s="17"/>
      <c r="E163" s="17"/>
      <c r="F163" s="18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0"/>
      <c r="T163" s="20"/>
      <c r="U163" s="21"/>
    </row>
    <row r="164" ht="20" customHeight="1" spans="1:21">
      <c r="A164" s="16"/>
      <c r="B164" s="17"/>
      <c r="C164" s="17"/>
      <c r="D164" s="17"/>
      <c r="E164" s="17"/>
      <c r="F164" s="18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0"/>
      <c r="T164" s="20"/>
      <c r="U164" s="21"/>
    </row>
    <row r="165" ht="20" customHeight="1" spans="1:21">
      <c r="A165" s="16"/>
      <c r="B165" s="17"/>
      <c r="C165" s="17"/>
      <c r="D165" s="17"/>
      <c r="E165" s="17"/>
      <c r="F165" s="18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0"/>
      <c r="T165" s="20"/>
      <c r="U165" s="21"/>
    </row>
    <row r="166" ht="20" customHeight="1" spans="1:21">
      <c r="A166" s="16"/>
      <c r="B166" s="17"/>
      <c r="C166" s="17"/>
      <c r="D166" s="17"/>
      <c r="E166" s="17"/>
      <c r="F166" s="18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0"/>
      <c r="T166" s="20"/>
      <c r="U166" s="21"/>
    </row>
    <row r="167" ht="20" customHeight="1" spans="1:21">
      <c r="A167" s="16"/>
      <c r="B167" s="17"/>
      <c r="C167" s="17"/>
      <c r="D167" s="17"/>
      <c r="E167" s="17"/>
      <c r="F167" s="18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0"/>
      <c r="T167" s="20"/>
      <c r="U167" s="21"/>
    </row>
    <row r="168" ht="20" customHeight="1" spans="1:21">
      <c r="A168" s="16"/>
      <c r="B168" s="17"/>
      <c r="C168" s="17"/>
      <c r="D168" s="17"/>
      <c r="E168" s="17"/>
      <c r="F168" s="18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0"/>
      <c r="T168" s="20"/>
      <c r="U168" s="21"/>
    </row>
    <row r="169" ht="20" customHeight="1" spans="1:21">
      <c r="A169" s="16"/>
      <c r="B169" s="17"/>
      <c r="C169" s="17"/>
      <c r="D169" s="17"/>
      <c r="E169" s="17"/>
      <c r="F169" s="18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0"/>
      <c r="T169" s="20"/>
      <c r="U169" s="21"/>
    </row>
    <row r="170" ht="20" customHeight="1" spans="1:21">
      <c r="A170" s="16"/>
      <c r="B170" s="17"/>
      <c r="C170" s="17"/>
      <c r="D170" s="17"/>
      <c r="E170" s="17"/>
      <c r="F170" s="18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0"/>
      <c r="T170" s="20"/>
      <c r="U170" s="21"/>
    </row>
    <row r="171" ht="20" customHeight="1" spans="1:21">
      <c r="A171" s="16"/>
      <c r="B171" s="17"/>
      <c r="C171" s="17"/>
      <c r="D171" s="17"/>
      <c r="E171" s="17"/>
      <c r="F171" s="18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0"/>
      <c r="T171" s="20"/>
      <c r="U171" s="21"/>
    </row>
    <row r="172" ht="20" customHeight="1" spans="1:21">
      <c r="A172" s="16"/>
      <c r="B172" s="17"/>
      <c r="C172" s="17"/>
      <c r="D172" s="17"/>
      <c r="E172" s="17"/>
      <c r="F172" s="18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0"/>
      <c r="T172" s="20"/>
      <c r="U172" s="21"/>
    </row>
    <row r="173" ht="20" customHeight="1" spans="1:21">
      <c r="A173" s="16"/>
      <c r="B173" s="17"/>
      <c r="C173" s="17"/>
      <c r="D173" s="17"/>
      <c r="E173" s="17"/>
      <c r="F173" s="18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0"/>
      <c r="T173" s="20"/>
      <c r="U173" s="21"/>
    </row>
    <row r="174" ht="20" customHeight="1" spans="1:21">
      <c r="A174" s="16"/>
      <c r="B174" s="17"/>
      <c r="C174" s="17"/>
      <c r="D174" s="17"/>
      <c r="E174" s="17"/>
      <c r="F174" s="18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0"/>
      <c r="T174" s="20"/>
      <c r="U174" s="21"/>
    </row>
    <row r="175" ht="20" customHeight="1" spans="1:21">
      <c r="A175" s="16"/>
      <c r="B175" s="17"/>
      <c r="C175" s="17"/>
      <c r="D175" s="17"/>
      <c r="E175" s="17"/>
      <c r="F175" s="18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0"/>
      <c r="T175" s="20"/>
      <c r="U175" s="21"/>
    </row>
    <row r="176" ht="20" customHeight="1" spans="1:21">
      <c r="A176" s="16"/>
      <c r="B176" s="17"/>
      <c r="C176" s="17"/>
      <c r="D176" s="17"/>
      <c r="E176" s="17"/>
      <c r="F176" s="18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0"/>
      <c r="T176" s="20"/>
      <c r="U176" s="21"/>
    </row>
    <row r="177" ht="20" customHeight="1" spans="1:21">
      <c r="A177" s="16"/>
      <c r="B177" s="17"/>
      <c r="C177" s="17"/>
      <c r="D177" s="17"/>
      <c r="E177" s="17"/>
      <c r="F177" s="18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0"/>
      <c r="T177" s="20"/>
      <c r="U177" s="21"/>
    </row>
    <row r="178" ht="20" customHeight="1" spans="1:21">
      <c r="A178" s="16"/>
      <c r="B178" s="17"/>
      <c r="C178" s="17"/>
      <c r="D178" s="17"/>
      <c r="E178" s="17"/>
      <c r="F178" s="18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0"/>
      <c r="T178" s="20"/>
      <c r="U178" s="21"/>
    </row>
    <row r="179" ht="20" customHeight="1" spans="1:21">
      <c r="A179" s="16"/>
      <c r="B179" s="17"/>
      <c r="C179" s="17"/>
      <c r="D179" s="17"/>
      <c r="E179" s="17"/>
      <c r="F179" s="18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0"/>
      <c r="T179" s="20"/>
      <c r="U179" s="21"/>
    </row>
    <row r="180" ht="20" customHeight="1" spans="1:21">
      <c r="A180" s="16"/>
      <c r="B180" s="17"/>
      <c r="C180" s="17"/>
      <c r="D180" s="17"/>
      <c r="E180" s="17"/>
      <c r="F180" s="18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0"/>
      <c r="T180" s="20"/>
      <c r="U180" s="21"/>
    </row>
    <row r="181" ht="20" customHeight="1" spans="1:21">
      <c r="A181" s="16"/>
      <c r="B181" s="17"/>
      <c r="C181" s="17"/>
      <c r="D181" s="17"/>
      <c r="E181" s="17"/>
      <c r="F181" s="18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0"/>
      <c r="T181" s="20"/>
      <c r="U181" s="21"/>
    </row>
    <row r="182" ht="20" customHeight="1" spans="1:21">
      <c r="A182" s="16"/>
      <c r="B182" s="17"/>
      <c r="C182" s="17"/>
      <c r="D182" s="17"/>
      <c r="E182" s="17"/>
      <c r="F182" s="18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0"/>
      <c r="T182" s="20"/>
      <c r="U182" s="21"/>
    </row>
    <row r="183" ht="20" customHeight="1" spans="1:21">
      <c r="A183" s="16"/>
      <c r="B183" s="17"/>
      <c r="C183" s="17"/>
      <c r="D183" s="17"/>
      <c r="E183" s="17"/>
      <c r="F183" s="18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0"/>
      <c r="T183" s="20"/>
      <c r="U183" s="21"/>
    </row>
    <row r="184" ht="20" customHeight="1" spans="1:21">
      <c r="A184" s="16"/>
      <c r="B184" s="17"/>
      <c r="C184" s="17"/>
      <c r="D184" s="17"/>
      <c r="E184" s="17"/>
      <c r="F184" s="18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0"/>
      <c r="T184" s="20"/>
      <c r="U184" s="21"/>
    </row>
    <row r="185" ht="20" customHeight="1" spans="1:21">
      <c r="A185" s="16"/>
      <c r="B185" s="17"/>
      <c r="C185" s="17"/>
      <c r="D185" s="17"/>
      <c r="E185" s="17"/>
      <c r="F185" s="18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0"/>
      <c r="T185" s="20"/>
      <c r="U185" s="21"/>
    </row>
    <row r="186" ht="20" customHeight="1" spans="1:21">
      <c r="A186" s="16"/>
      <c r="B186" s="17"/>
      <c r="C186" s="17"/>
      <c r="D186" s="17"/>
      <c r="E186" s="17"/>
      <c r="F186" s="18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0"/>
      <c r="T186" s="20"/>
      <c r="U186" s="21"/>
    </row>
    <row r="187" ht="20" customHeight="1" spans="1:21">
      <c r="A187" s="16"/>
      <c r="B187" s="17"/>
      <c r="C187" s="17"/>
      <c r="D187" s="17"/>
      <c r="E187" s="17"/>
      <c r="F187" s="18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0"/>
      <c r="T187" s="20"/>
      <c r="U187" s="21"/>
    </row>
    <row r="188" ht="20" customHeight="1" spans="1:21">
      <c r="A188" s="16"/>
      <c r="B188" s="17"/>
      <c r="C188" s="17"/>
      <c r="D188" s="17"/>
      <c r="E188" s="17"/>
      <c r="F188" s="18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0"/>
      <c r="T188" s="20"/>
      <c r="U188" s="21"/>
    </row>
    <row r="189" ht="20" customHeight="1" spans="1:21">
      <c r="A189" s="16"/>
      <c r="B189" s="17"/>
      <c r="C189" s="17"/>
      <c r="D189" s="17"/>
      <c r="E189" s="17"/>
      <c r="F189" s="18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0"/>
      <c r="T189" s="20"/>
      <c r="U189" s="21"/>
    </row>
    <row r="190" ht="20" customHeight="1" spans="1:21">
      <c r="A190" s="16"/>
      <c r="B190" s="17"/>
      <c r="C190" s="17"/>
      <c r="D190" s="17"/>
      <c r="E190" s="17"/>
      <c r="F190" s="18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0"/>
      <c r="T190" s="20"/>
      <c r="U190" s="21"/>
    </row>
    <row r="191" ht="20" customHeight="1" spans="1:21">
      <c r="A191" s="16"/>
      <c r="B191" s="17"/>
      <c r="C191" s="17"/>
      <c r="D191" s="17"/>
      <c r="E191" s="17"/>
      <c r="F191" s="18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0"/>
      <c r="T191" s="20"/>
      <c r="U191" s="21"/>
    </row>
    <row r="192" ht="20" customHeight="1" spans="1:21">
      <c r="A192" s="16"/>
      <c r="B192" s="17"/>
      <c r="C192" s="17"/>
      <c r="D192" s="17"/>
      <c r="E192" s="17"/>
      <c r="F192" s="18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0"/>
      <c r="T192" s="20"/>
      <c r="U192" s="21"/>
    </row>
    <row r="193" ht="20" customHeight="1" spans="1:21">
      <c r="A193" s="16"/>
      <c r="B193" s="17"/>
      <c r="C193" s="17"/>
      <c r="D193" s="17"/>
      <c r="E193" s="17"/>
      <c r="F193" s="18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0"/>
      <c r="T193" s="20"/>
      <c r="U193" s="21"/>
    </row>
    <row r="194" ht="20" customHeight="1" spans="1:21">
      <c r="A194" s="16"/>
      <c r="B194" s="17"/>
      <c r="C194" s="17"/>
      <c r="D194" s="17"/>
      <c r="E194" s="17"/>
      <c r="F194" s="18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0"/>
      <c r="T194" s="20"/>
      <c r="U194" s="21"/>
    </row>
    <row r="195" ht="20" customHeight="1" spans="1:21">
      <c r="A195" s="16"/>
      <c r="B195" s="17"/>
      <c r="C195" s="17"/>
      <c r="D195" s="17"/>
      <c r="E195" s="17"/>
      <c r="F195" s="18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0"/>
      <c r="T195" s="20"/>
      <c r="U195" s="21"/>
    </row>
    <row r="196" ht="20" customHeight="1" spans="1:21">
      <c r="A196" s="16"/>
      <c r="B196" s="17"/>
      <c r="C196" s="17"/>
      <c r="D196" s="17"/>
      <c r="E196" s="17"/>
      <c r="F196" s="18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0"/>
      <c r="T196" s="20"/>
      <c r="U196" s="21"/>
    </row>
    <row r="197" ht="20" customHeight="1" spans="1:21">
      <c r="A197" s="16"/>
      <c r="B197" s="17"/>
      <c r="C197" s="17"/>
      <c r="D197" s="17"/>
      <c r="E197" s="17"/>
      <c r="F197" s="18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0"/>
      <c r="T197" s="20"/>
      <c r="U197" s="21"/>
    </row>
    <row r="198" ht="20" customHeight="1" spans="1:21">
      <c r="A198" s="22"/>
      <c r="B198" s="23"/>
      <c r="C198" s="23"/>
      <c r="D198" s="23"/>
      <c r="E198" s="23"/>
      <c r="F198" s="24"/>
      <c r="G198" s="23"/>
      <c r="H198" s="23"/>
      <c r="I198" s="23"/>
      <c r="J198" s="23"/>
      <c r="K198" s="25"/>
      <c r="L198" s="25"/>
      <c r="M198" s="25"/>
      <c r="N198" s="25"/>
      <c r="O198" s="25"/>
      <c r="P198" s="25"/>
      <c r="Q198" s="25"/>
      <c r="R198" s="25"/>
      <c r="S198" s="26"/>
      <c r="T198" s="26"/>
      <c r="U198" s="27"/>
    </row>
  </sheetData>
  <mergeCells count="2">
    <mergeCell ref="A1:U1"/>
    <mergeCell ref="A2:U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3"/>
  <sheetViews>
    <sheetView zoomScale="85" zoomScaleNormal="85" topLeftCell="C2" workbookViewId="0">
      <selection activeCell="A8" sqref="A8:A9"/>
    </sheetView>
  </sheetViews>
  <sheetFormatPr defaultColWidth="9" defaultRowHeight="13.8"/>
  <cols>
    <col min="1" max="1" width="11" customWidth="1"/>
    <col min="2" max="2" width="25.7" customWidth="1"/>
    <col min="3" max="3" width="30" customWidth="1"/>
    <col min="4" max="4" width="10" customWidth="1"/>
    <col min="5" max="7" width="11" customWidth="1"/>
    <col min="8" max="8" width="15" customWidth="1"/>
    <col min="9" max="9" width="16" customWidth="1"/>
    <col min="10" max="10" width="10" customWidth="1"/>
    <col min="11" max="11" width="11" customWidth="1"/>
    <col min="12" max="12" width="12" customWidth="1"/>
    <col min="13" max="13" width="11" customWidth="1"/>
    <col min="14" max="14" width="12" customWidth="1"/>
    <col min="15" max="15" width="15" customWidth="1"/>
    <col min="16" max="16" width="9" customWidth="1"/>
    <col min="17" max="18" width="12" customWidth="1"/>
    <col min="19" max="19" width="16.4" customWidth="1"/>
    <col min="20" max="20" width="21.7" customWidth="1"/>
    <col min="21" max="23" width="14" customWidth="1"/>
    <col min="24" max="24" width="20" customWidth="1"/>
  </cols>
  <sheetData>
    <row r="1" ht="24" customHeight="1" spans="1:24">
      <c r="A1" s="40" t="s">
        <v>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34" customHeight="1" spans="1:24">
      <c r="A2" s="41" t="s">
        <v>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8" customHeight="1"/>
    <row r="4" ht="24" customHeight="1" spans="1:24">
      <c r="A4" s="7" t="s">
        <v>40</v>
      </c>
      <c r="B4" s="8" t="s">
        <v>41</v>
      </c>
      <c r="C4" s="8" t="s">
        <v>42</v>
      </c>
      <c r="D4" s="8" t="s">
        <v>25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26</v>
      </c>
      <c r="L4" s="8" t="s">
        <v>49</v>
      </c>
      <c r="M4" s="8" t="s">
        <v>27</v>
      </c>
      <c r="N4" s="8" t="s">
        <v>50</v>
      </c>
      <c r="O4" s="8" t="s">
        <v>28</v>
      </c>
      <c r="P4" s="8" t="s">
        <v>29</v>
      </c>
      <c r="Q4" s="8" t="s">
        <v>30</v>
      </c>
      <c r="R4" s="8" t="s">
        <v>31</v>
      </c>
      <c r="S4" s="8" t="s">
        <v>51</v>
      </c>
      <c r="T4" s="8" t="s">
        <v>52</v>
      </c>
      <c r="U4" s="8" t="s">
        <v>51</v>
      </c>
      <c r="V4" s="8" t="s">
        <v>52</v>
      </c>
      <c r="W4" s="8" t="s">
        <v>83</v>
      </c>
      <c r="X4" s="9" t="s">
        <v>32</v>
      </c>
    </row>
    <row r="5" ht="24" customHeight="1" spans="1:24">
      <c r="A5" s="10" t="s">
        <v>84</v>
      </c>
      <c r="B5" s="17" t="s">
        <v>85</v>
      </c>
      <c r="C5" s="17" t="s">
        <v>62</v>
      </c>
      <c r="D5" s="17" t="s">
        <v>37</v>
      </c>
      <c r="E5" s="17" t="s">
        <v>56</v>
      </c>
      <c r="F5" s="18">
        <v>30</v>
      </c>
      <c r="G5" s="11" t="s">
        <v>57</v>
      </c>
      <c r="H5" s="30" t="s">
        <v>58</v>
      </c>
      <c r="I5" s="17" t="s">
        <v>59</v>
      </c>
      <c r="J5" s="11" t="s">
        <v>60</v>
      </c>
      <c r="K5" s="19">
        <v>11.82</v>
      </c>
      <c r="L5" s="19">
        <f>IFERROR((1-K5/VLOOKUP(D5,基线!$B$5:$H$6,2,FALSE))*100,"")</f>
        <v>13.5964912280702</v>
      </c>
      <c r="M5" s="19">
        <v>14.29</v>
      </c>
      <c r="N5" s="13">
        <f>(M5-15.48)/M5*100</f>
        <v>-8.32750174947517</v>
      </c>
      <c r="O5" s="19">
        <v>8.69</v>
      </c>
      <c r="P5" s="19">
        <v>115.08</v>
      </c>
      <c r="Q5" s="19">
        <v>60.27</v>
      </c>
      <c r="R5" s="19">
        <v>73.6</v>
      </c>
      <c r="S5" s="14">
        <f>Q5-62.66</f>
        <v>-2.38999999999999</v>
      </c>
      <c r="T5" s="14">
        <f>R5-75.01</f>
        <v>-1.41000000000001</v>
      </c>
      <c r="U5" s="42"/>
      <c r="V5" s="42"/>
      <c r="W5" s="42"/>
      <c r="X5" s="43"/>
    </row>
    <row r="6" ht="24" customHeight="1" spans="1:24">
      <c r="A6" s="16" t="s">
        <v>84</v>
      </c>
      <c r="B6" s="17" t="s">
        <v>86</v>
      </c>
      <c r="C6" s="17" t="s">
        <v>87</v>
      </c>
      <c r="D6" s="17" t="s">
        <v>37</v>
      </c>
      <c r="E6" s="17" t="s">
        <v>56</v>
      </c>
      <c r="F6" s="18">
        <v>30</v>
      </c>
      <c r="G6" s="11" t="s">
        <v>88</v>
      </c>
      <c r="H6" s="30" t="s">
        <v>58</v>
      </c>
      <c r="I6" s="17" t="s">
        <v>59</v>
      </c>
      <c r="J6" s="11" t="s">
        <v>60</v>
      </c>
      <c r="K6" s="19">
        <v>12.18</v>
      </c>
      <c r="L6" s="19">
        <f>IFERROR((1-K6/VLOOKUP(D6,基线!$B$5:$H$6,2,FALSE))*100,"")</f>
        <v>10.9649122807018</v>
      </c>
      <c r="M6" s="19">
        <v>13.9</v>
      </c>
      <c r="N6" s="19">
        <f>(M6-15.48)/M6*100</f>
        <v>-11.3669064748201</v>
      </c>
      <c r="O6" s="19">
        <v>8.71</v>
      </c>
      <c r="P6" s="19">
        <v>114.75</v>
      </c>
      <c r="Q6" s="19">
        <v>56.79</v>
      </c>
      <c r="R6" s="19">
        <v>69.77</v>
      </c>
      <c r="S6" s="19">
        <f>Q6-62.66</f>
        <v>-5.87</v>
      </c>
      <c r="T6" s="19">
        <f>R6-75.01</f>
        <v>-5.24000000000001</v>
      </c>
      <c r="U6" s="42"/>
      <c r="V6" s="42"/>
      <c r="W6" s="42"/>
      <c r="X6" s="43"/>
    </row>
    <row r="7" ht="24" customHeight="1" spans="1:24">
      <c r="A7" s="10" t="s">
        <v>84</v>
      </c>
      <c r="B7" s="17" t="s">
        <v>89</v>
      </c>
      <c r="C7" s="17" t="s">
        <v>90</v>
      </c>
      <c r="D7" s="11" t="s">
        <v>37</v>
      </c>
      <c r="E7" s="17" t="s">
        <v>56</v>
      </c>
      <c r="F7" s="12">
        <v>30</v>
      </c>
      <c r="G7" s="11" t="s">
        <v>73</v>
      </c>
      <c r="H7" s="30" t="s">
        <v>58</v>
      </c>
      <c r="I7" s="11" t="s">
        <v>59</v>
      </c>
      <c r="J7" s="11" t="s">
        <v>60</v>
      </c>
      <c r="K7" s="19">
        <v>12.18</v>
      </c>
      <c r="L7" s="19">
        <f>IFERROR((1-K7/VLOOKUP(D7,基线!$B$5:$H$6,2,FALSE))*100,"")</f>
        <v>10.9649122807018</v>
      </c>
      <c r="M7" s="19">
        <v>13.9</v>
      </c>
      <c r="N7" s="13">
        <f>(M7-15.48)/M7*100</f>
        <v>-11.3669064748201</v>
      </c>
      <c r="O7" s="19">
        <v>7.65</v>
      </c>
      <c r="P7" s="19">
        <v>130.56</v>
      </c>
      <c r="Q7" s="19">
        <v>56.79</v>
      </c>
      <c r="R7" s="19">
        <v>69.77</v>
      </c>
      <c r="S7" s="14">
        <f>Q7-62.66</f>
        <v>-5.87</v>
      </c>
      <c r="T7" s="14">
        <f>R7-75.01</f>
        <v>-5.24000000000001</v>
      </c>
      <c r="U7" s="42"/>
      <c r="V7" s="42"/>
      <c r="W7" s="42"/>
      <c r="X7" s="43"/>
    </row>
    <row r="8" ht="20" customHeight="1" spans="1:24">
      <c r="A8" s="17"/>
      <c r="B8" s="11"/>
      <c r="C8" s="11"/>
      <c r="D8" s="11"/>
      <c r="E8" s="11"/>
      <c r="F8" s="12"/>
      <c r="G8" s="11"/>
      <c r="H8" s="11"/>
      <c r="I8" s="11"/>
      <c r="J8" s="11"/>
      <c r="K8" s="13"/>
      <c r="L8" s="13"/>
      <c r="M8" s="13"/>
      <c r="N8" s="13"/>
      <c r="O8" s="13"/>
      <c r="P8" s="13"/>
      <c r="Q8" s="13"/>
      <c r="R8" s="13"/>
      <c r="S8" s="13"/>
      <c r="T8" s="13"/>
      <c r="U8" s="14" t="str">
        <f>IFERROR(Q8-VLOOKUP(D8,基线!$B$5:$H$6,8,FALSE),"")</f>
        <v/>
      </c>
      <c r="V8" s="14" t="str">
        <f>IFERROR(S8-VLOOKUP(D8,基线!$B$5:$H$6,10,FALSE),"")</f>
        <v/>
      </c>
      <c r="W8" s="14" t="str">
        <f>IFERROR(T8-VLOOKUP(D8,基线!$B$5:$H$6,11,FALSE),"")</f>
        <v/>
      </c>
      <c r="X8" s="15"/>
    </row>
    <row r="9" ht="20" customHeight="1" spans="1:24">
      <c r="A9" s="17"/>
      <c r="B9" s="17"/>
      <c r="C9" s="17"/>
      <c r="D9" s="17"/>
      <c r="E9" s="17"/>
      <c r="F9" s="18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19"/>
      <c r="T9" s="19"/>
      <c r="U9" s="20" t="str">
        <f>IFERROR(Q9-VLOOKUP(D9,基线!$B$5:$H$6,8,FALSE),"")</f>
        <v/>
      </c>
      <c r="V9" s="20" t="str">
        <f>IFERROR(S9-VLOOKUP(D9,基线!$B$5:$H$6,10,FALSE),"")</f>
        <v/>
      </c>
      <c r="W9" s="20" t="str">
        <f>IFERROR(T9-VLOOKUP(D9,基线!$B$5:$H$6,11,FALSE),"")</f>
        <v/>
      </c>
      <c r="X9" s="21"/>
    </row>
    <row r="10" ht="20" customHeight="1" spans="1:24">
      <c r="A10" s="16"/>
      <c r="B10" s="17"/>
      <c r="C10" s="17"/>
      <c r="D10" s="17"/>
      <c r="E10" s="17"/>
      <c r="F10" s="18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20"/>
      <c r="V10" s="20"/>
      <c r="W10" s="20"/>
      <c r="X10" s="21"/>
    </row>
    <row r="11" ht="20" customHeight="1" spans="1:24">
      <c r="A11" s="16"/>
      <c r="B11" s="17"/>
      <c r="C11" s="17"/>
      <c r="D11" s="17"/>
      <c r="E11" s="17"/>
      <c r="F11" s="18"/>
      <c r="G11" s="17"/>
      <c r="H11" s="17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20"/>
      <c r="V11" s="20"/>
      <c r="W11" s="20"/>
      <c r="X11" s="21"/>
    </row>
    <row r="12" ht="20" customHeight="1" spans="1:24">
      <c r="A12" s="16"/>
      <c r="B12" s="17"/>
      <c r="C12" s="17"/>
      <c r="D12" s="17"/>
      <c r="E12" s="17"/>
      <c r="F12" s="18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20"/>
      <c r="V12" s="20"/>
      <c r="W12" s="20"/>
      <c r="X12" s="21"/>
    </row>
    <row r="13" ht="20" customHeight="1" spans="1:24">
      <c r="A13" s="16"/>
      <c r="B13" s="17"/>
      <c r="C13" s="17"/>
      <c r="D13" s="17"/>
      <c r="E13" s="17"/>
      <c r="F13" s="18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20"/>
      <c r="V13" s="20"/>
      <c r="W13" s="20"/>
      <c r="X13" s="21"/>
    </row>
    <row r="14" ht="20" customHeight="1" spans="1:24">
      <c r="A14" s="16"/>
      <c r="B14" s="17"/>
      <c r="C14" s="17"/>
      <c r="D14" s="17"/>
      <c r="E14" s="17"/>
      <c r="F14" s="18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20"/>
      <c r="V14" s="20"/>
      <c r="W14" s="20"/>
      <c r="X14" s="21"/>
    </row>
    <row r="15" ht="20" customHeight="1" spans="1:24">
      <c r="A15" s="16"/>
      <c r="B15" s="17"/>
      <c r="C15" s="17"/>
      <c r="D15" s="17"/>
      <c r="E15" s="17"/>
      <c r="F15" s="18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20"/>
      <c r="V15" s="20"/>
      <c r="W15" s="20"/>
      <c r="X15" s="21"/>
    </row>
    <row r="16" ht="20" customHeight="1" spans="1:24">
      <c r="A16" s="16"/>
      <c r="B16" s="17"/>
      <c r="C16" s="17"/>
      <c r="D16" s="17"/>
      <c r="E16" s="17"/>
      <c r="F16" s="18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20"/>
      <c r="V16" s="20"/>
      <c r="W16" s="20"/>
      <c r="X16" s="21"/>
    </row>
    <row r="17" ht="20" customHeight="1" spans="1:24">
      <c r="A17" s="16"/>
      <c r="B17" s="17"/>
      <c r="C17" s="17"/>
      <c r="D17" s="17"/>
      <c r="E17" s="17"/>
      <c r="F17" s="18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20"/>
      <c r="V17" s="20"/>
      <c r="W17" s="20"/>
      <c r="X17" s="21"/>
    </row>
    <row r="18" ht="20" customHeight="1" spans="1:24">
      <c r="A18" s="16"/>
      <c r="B18" s="17"/>
      <c r="C18" s="17"/>
      <c r="D18" s="17"/>
      <c r="E18" s="17"/>
      <c r="F18" s="18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  <c r="V18" s="20"/>
      <c r="W18" s="20"/>
      <c r="X18" s="21"/>
    </row>
    <row r="19" ht="20" customHeight="1" spans="1:24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  <c r="V19" s="20"/>
      <c r="W19" s="20"/>
      <c r="X19" s="21"/>
    </row>
    <row r="20" ht="20" customHeight="1" spans="1:24">
      <c r="A20" s="16"/>
      <c r="B20" s="17"/>
      <c r="C20" s="17"/>
      <c r="D20" s="17"/>
      <c r="E20" s="17"/>
      <c r="F20" s="18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20"/>
      <c r="W20" s="20"/>
      <c r="X20" s="21"/>
    </row>
    <row r="21" ht="20" customHeight="1" spans="1:24">
      <c r="A21" s="16"/>
      <c r="B21" s="17"/>
      <c r="C21" s="17"/>
      <c r="D21" s="17"/>
      <c r="E21" s="17"/>
      <c r="F21" s="18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20"/>
      <c r="W21" s="20"/>
      <c r="X21" s="21"/>
    </row>
    <row r="22" ht="20" customHeight="1" spans="1:24">
      <c r="A22" s="16"/>
      <c r="B22" s="17"/>
      <c r="C22" s="17"/>
      <c r="D22" s="17"/>
      <c r="E22" s="17"/>
      <c r="F22" s="18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  <c r="V22" s="20"/>
      <c r="W22" s="20"/>
      <c r="X22" s="21"/>
    </row>
    <row r="23" ht="20" customHeight="1" spans="1:24">
      <c r="A23" s="16"/>
      <c r="B23" s="17"/>
      <c r="C23" s="17"/>
      <c r="D23" s="17"/>
      <c r="E23" s="17"/>
      <c r="F23" s="18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  <c r="V23" s="20"/>
      <c r="W23" s="20"/>
      <c r="X23" s="21"/>
    </row>
    <row r="24" ht="20" customHeight="1" spans="1:24">
      <c r="A24" s="16"/>
      <c r="B24" s="17"/>
      <c r="C24" s="17"/>
      <c r="D24" s="17"/>
      <c r="E24" s="17"/>
      <c r="F24" s="18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20"/>
      <c r="W24" s="20"/>
      <c r="X24" s="21"/>
    </row>
    <row r="25" ht="20" customHeight="1" spans="1:24">
      <c r="A25" s="16"/>
      <c r="B25" s="17"/>
      <c r="C25" s="17"/>
      <c r="D25" s="17"/>
      <c r="E25" s="17"/>
      <c r="F25" s="18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20"/>
      <c r="W25" s="20"/>
      <c r="X25" s="21"/>
    </row>
    <row r="26" ht="20" customHeight="1" spans="1:24">
      <c r="A26" s="16"/>
      <c r="B26" s="17"/>
      <c r="C26" s="17"/>
      <c r="D26" s="17"/>
      <c r="E26" s="17"/>
      <c r="F26" s="18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  <c r="V26" s="20"/>
      <c r="W26" s="20"/>
      <c r="X26" s="21"/>
    </row>
    <row r="27" ht="20" customHeight="1" spans="1:24">
      <c r="A27" s="16"/>
      <c r="B27" s="17"/>
      <c r="C27" s="17"/>
      <c r="D27" s="17"/>
      <c r="E27" s="17"/>
      <c r="F27" s="18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  <c r="V27" s="20"/>
      <c r="W27" s="20"/>
      <c r="X27" s="21"/>
    </row>
    <row r="28" ht="20" customHeight="1" spans="1:24">
      <c r="A28" s="16"/>
      <c r="B28" s="17"/>
      <c r="C28" s="17"/>
      <c r="D28" s="17"/>
      <c r="E28" s="17"/>
      <c r="F28" s="18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21"/>
    </row>
    <row r="29" ht="20" customHeight="1" spans="1:24">
      <c r="A29" s="16"/>
      <c r="B29" s="17"/>
      <c r="C29" s="17"/>
      <c r="D29" s="17"/>
      <c r="E29" s="17"/>
      <c r="F29" s="18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20"/>
      <c r="W29" s="20"/>
      <c r="X29" s="21"/>
    </row>
    <row r="30" ht="20" customHeight="1" spans="1:24">
      <c r="A30" s="16"/>
      <c r="B30" s="17"/>
      <c r="C30" s="17"/>
      <c r="D30" s="17"/>
      <c r="E30" s="17"/>
      <c r="F30" s="18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20"/>
      <c r="W30" s="20"/>
      <c r="X30" s="21"/>
    </row>
    <row r="31" ht="20" customHeight="1" spans="1:24">
      <c r="A31" s="16"/>
      <c r="B31" s="17"/>
      <c r="C31" s="17"/>
      <c r="D31" s="17"/>
      <c r="E31" s="17"/>
      <c r="F31" s="18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20"/>
      <c r="W31" s="20"/>
      <c r="X31" s="21"/>
    </row>
    <row r="32" ht="20" customHeight="1" spans="1:24">
      <c r="A32" s="16"/>
      <c r="B32" s="17"/>
      <c r="C32" s="17"/>
      <c r="D32" s="17"/>
      <c r="E32" s="17"/>
      <c r="F32" s="18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20"/>
      <c r="W32" s="20"/>
      <c r="X32" s="21"/>
    </row>
    <row r="33" ht="20" customHeight="1" spans="1:24">
      <c r="A33" s="16"/>
      <c r="B33" s="17"/>
      <c r="C33" s="17"/>
      <c r="D33" s="17"/>
      <c r="E33" s="17"/>
      <c r="F33" s="18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20"/>
      <c r="W33" s="20"/>
      <c r="X33" s="21"/>
    </row>
    <row r="34" ht="20" customHeight="1" spans="1:24">
      <c r="A34" s="16"/>
      <c r="B34" s="17"/>
      <c r="C34" s="17"/>
      <c r="D34" s="17"/>
      <c r="E34" s="17"/>
      <c r="F34" s="18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20"/>
      <c r="W34" s="20"/>
      <c r="X34" s="21"/>
    </row>
    <row r="35" ht="20" customHeight="1" spans="1:24">
      <c r="A35" s="16"/>
      <c r="B35" s="17"/>
      <c r="C35" s="17"/>
      <c r="D35" s="17"/>
      <c r="E35" s="17"/>
      <c r="F35" s="18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20"/>
      <c r="W35" s="20"/>
      <c r="X35" s="21"/>
    </row>
    <row r="36" ht="20" customHeight="1" spans="1:24">
      <c r="A36" s="16"/>
      <c r="B36" s="17"/>
      <c r="C36" s="17"/>
      <c r="D36" s="17"/>
      <c r="E36" s="17"/>
      <c r="F36" s="18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20"/>
      <c r="W36" s="20"/>
      <c r="X36" s="21"/>
    </row>
    <row r="37" ht="20" customHeight="1" spans="1:24">
      <c r="A37" s="16"/>
      <c r="B37" s="17"/>
      <c r="C37" s="17"/>
      <c r="D37" s="17"/>
      <c r="E37" s="17"/>
      <c r="F37" s="18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20"/>
      <c r="W37" s="20"/>
      <c r="X37" s="21"/>
    </row>
    <row r="38" ht="20" customHeight="1" spans="1:24">
      <c r="A38" s="16"/>
      <c r="B38" s="17"/>
      <c r="C38" s="17"/>
      <c r="D38" s="17"/>
      <c r="E38" s="17"/>
      <c r="F38" s="18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20"/>
      <c r="W38" s="20"/>
      <c r="X38" s="21"/>
    </row>
    <row r="39" ht="20" customHeight="1" spans="1:24">
      <c r="A39" s="16"/>
      <c r="B39" s="17"/>
      <c r="C39" s="17"/>
      <c r="D39" s="17"/>
      <c r="E39" s="17"/>
      <c r="F39" s="18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20"/>
      <c r="W39" s="20"/>
      <c r="X39" s="21"/>
    </row>
    <row r="40" ht="20" customHeight="1" spans="1:24">
      <c r="A40" s="16"/>
      <c r="B40" s="17"/>
      <c r="C40" s="17"/>
      <c r="D40" s="17"/>
      <c r="E40" s="17"/>
      <c r="F40" s="18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20"/>
      <c r="W40" s="20"/>
      <c r="X40" s="21"/>
    </row>
    <row r="41" ht="20" customHeight="1" spans="1:24">
      <c r="A41" s="16"/>
      <c r="B41" s="17"/>
      <c r="C41" s="17"/>
      <c r="D41" s="17"/>
      <c r="E41" s="17"/>
      <c r="F41" s="18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20"/>
      <c r="W41" s="20"/>
      <c r="X41" s="21"/>
    </row>
    <row r="42" ht="20" customHeight="1" spans="1:24">
      <c r="A42" s="16"/>
      <c r="B42" s="17"/>
      <c r="C42" s="17"/>
      <c r="D42" s="17"/>
      <c r="E42" s="17"/>
      <c r="F42" s="18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20"/>
      <c r="W42" s="20"/>
      <c r="X42" s="21"/>
    </row>
    <row r="43" ht="20" customHeight="1" spans="1:24">
      <c r="A43" s="16"/>
      <c r="B43" s="17"/>
      <c r="C43" s="17"/>
      <c r="D43" s="17"/>
      <c r="E43" s="17"/>
      <c r="F43" s="18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20"/>
      <c r="W43" s="20"/>
      <c r="X43" s="21"/>
    </row>
    <row r="44" ht="20" customHeight="1" spans="1:24">
      <c r="A44" s="16"/>
      <c r="B44" s="17"/>
      <c r="C44" s="17"/>
      <c r="D44" s="17"/>
      <c r="E44" s="17"/>
      <c r="F44" s="18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20"/>
      <c r="W44" s="20"/>
      <c r="X44" s="21"/>
    </row>
    <row r="45" ht="20" customHeight="1" spans="1:24">
      <c r="A45" s="16"/>
      <c r="B45" s="17"/>
      <c r="C45" s="17"/>
      <c r="D45" s="17"/>
      <c r="E45" s="17"/>
      <c r="F45" s="18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20"/>
      <c r="W45" s="20"/>
      <c r="X45" s="21"/>
    </row>
    <row r="46" ht="20" customHeight="1" spans="1:24">
      <c r="A46" s="16"/>
      <c r="B46" s="17"/>
      <c r="C46" s="17"/>
      <c r="D46" s="17"/>
      <c r="E46" s="17"/>
      <c r="F46" s="18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20"/>
      <c r="W46" s="20"/>
      <c r="X46" s="21"/>
    </row>
    <row r="47" ht="20" customHeight="1" spans="1:24">
      <c r="A47" s="16"/>
      <c r="B47" s="17"/>
      <c r="C47" s="17"/>
      <c r="D47" s="17"/>
      <c r="E47" s="17"/>
      <c r="F47" s="18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20"/>
      <c r="W47" s="20"/>
      <c r="X47" s="21"/>
    </row>
    <row r="48" ht="20" customHeight="1" spans="1:24">
      <c r="A48" s="16"/>
      <c r="B48" s="17"/>
      <c r="C48" s="17"/>
      <c r="D48" s="17"/>
      <c r="E48" s="17"/>
      <c r="F48" s="18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20"/>
      <c r="W48" s="20"/>
      <c r="X48" s="21"/>
    </row>
    <row r="49" ht="20" customHeight="1" spans="1:24">
      <c r="A49" s="16"/>
      <c r="B49" s="17"/>
      <c r="C49" s="17"/>
      <c r="D49" s="17"/>
      <c r="E49" s="17"/>
      <c r="F49" s="18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20"/>
      <c r="W49" s="20"/>
      <c r="X49" s="21"/>
    </row>
    <row r="50" ht="20" customHeight="1" spans="1:24">
      <c r="A50" s="16"/>
      <c r="B50" s="17"/>
      <c r="C50" s="17"/>
      <c r="D50" s="17"/>
      <c r="E50" s="17"/>
      <c r="F50" s="18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20"/>
      <c r="W50" s="20"/>
      <c r="X50" s="21"/>
    </row>
    <row r="51" ht="20" customHeight="1" spans="1:24">
      <c r="A51" s="16"/>
      <c r="B51" s="17"/>
      <c r="C51" s="17"/>
      <c r="D51" s="17"/>
      <c r="E51" s="17"/>
      <c r="F51" s="18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20"/>
      <c r="W51" s="20"/>
      <c r="X51" s="21"/>
    </row>
    <row r="52" ht="20" customHeight="1" spans="1:24">
      <c r="A52" s="16"/>
      <c r="B52" s="17"/>
      <c r="C52" s="17"/>
      <c r="D52" s="17"/>
      <c r="E52" s="17"/>
      <c r="F52" s="18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20"/>
      <c r="W52" s="20"/>
      <c r="X52" s="21"/>
    </row>
    <row r="53" ht="20" customHeight="1" spans="1:24">
      <c r="A53" s="16"/>
      <c r="B53" s="17"/>
      <c r="C53" s="17"/>
      <c r="D53" s="17"/>
      <c r="E53" s="17"/>
      <c r="F53" s="18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20"/>
      <c r="W53" s="20"/>
      <c r="X53" s="21"/>
    </row>
    <row r="54" ht="20" customHeight="1" spans="1:24">
      <c r="A54" s="16"/>
      <c r="B54" s="17"/>
      <c r="C54" s="17"/>
      <c r="D54" s="17"/>
      <c r="E54" s="17"/>
      <c r="F54" s="18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20"/>
      <c r="W54" s="20"/>
      <c r="X54" s="21"/>
    </row>
    <row r="55" ht="20" customHeight="1" spans="1:24">
      <c r="A55" s="16"/>
      <c r="B55" s="17"/>
      <c r="C55" s="17"/>
      <c r="D55" s="17"/>
      <c r="E55" s="17"/>
      <c r="F55" s="18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20"/>
      <c r="W55" s="20"/>
      <c r="X55" s="21"/>
    </row>
    <row r="56" ht="20" customHeight="1" spans="1:24">
      <c r="A56" s="16"/>
      <c r="B56" s="17"/>
      <c r="C56" s="17"/>
      <c r="D56" s="17"/>
      <c r="E56" s="17"/>
      <c r="F56" s="18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20"/>
      <c r="V56" s="20"/>
      <c r="W56" s="20"/>
      <c r="X56" s="21"/>
    </row>
    <row r="57" ht="20" customHeight="1" spans="1:24">
      <c r="A57" s="16"/>
      <c r="B57" s="17"/>
      <c r="C57" s="17"/>
      <c r="D57" s="17"/>
      <c r="E57" s="17"/>
      <c r="F57" s="18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  <c r="V57" s="20"/>
      <c r="W57" s="20"/>
      <c r="X57" s="21"/>
    </row>
    <row r="58" ht="20" customHeight="1" spans="1:24">
      <c r="A58" s="16"/>
      <c r="B58" s="17"/>
      <c r="C58" s="17"/>
      <c r="D58" s="17"/>
      <c r="E58" s="17"/>
      <c r="F58" s="18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20"/>
      <c r="V58" s="20"/>
      <c r="W58" s="20"/>
      <c r="X58" s="21"/>
    </row>
    <row r="59" ht="20" customHeight="1" spans="1:24">
      <c r="A59" s="16"/>
      <c r="B59" s="17"/>
      <c r="C59" s="17"/>
      <c r="D59" s="17"/>
      <c r="E59" s="17"/>
      <c r="F59" s="18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20"/>
      <c r="V59" s="20"/>
      <c r="W59" s="20"/>
      <c r="X59" s="21"/>
    </row>
    <row r="60" ht="20" customHeight="1" spans="1:24">
      <c r="A60" s="16"/>
      <c r="B60" s="17"/>
      <c r="C60" s="17"/>
      <c r="D60" s="17"/>
      <c r="E60" s="17"/>
      <c r="F60" s="18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0"/>
      <c r="V60" s="20"/>
      <c r="W60" s="20"/>
      <c r="X60" s="21"/>
    </row>
    <row r="61" ht="20" customHeight="1" spans="1:24">
      <c r="A61" s="16"/>
      <c r="B61" s="17"/>
      <c r="C61" s="17"/>
      <c r="D61" s="17"/>
      <c r="E61" s="17"/>
      <c r="F61" s="18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20"/>
      <c r="V61" s="20"/>
      <c r="W61" s="20"/>
      <c r="X61" s="21"/>
    </row>
    <row r="62" ht="20" customHeight="1" spans="1:24">
      <c r="A62" s="16"/>
      <c r="B62" s="17"/>
      <c r="C62" s="17"/>
      <c r="D62" s="17"/>
      <c r="E62" s="17"/>
      <c r="F62" s="18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20"/>
      <c r="V62" s="20"/>
      <c r="W62" s="20"/>
      <c r="X62" s="21"/>
    </row>
    <row r="63" ht="20" customHeight="1" spans="1:24">
      <c r="A63" s="16"/>
      <c r="B63" s="17"/>
      <c r="C63" s="17"/>
      <c r="D63" s="17"/>
      <c r="E63" s="17"/>
      <c r="F63" s="18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20"/>
      <c r="V63" s="20"/>
      <c r="W63" s="20"/>
      <c r="X63" s="21"/>
    </row>
    <row r="64" ht="20" customHeight="1" spans="1:24">
      <c r="A64" s="16"/>
      <c r="B64" s="17"/>
      <c r="C64" s="17"/>
      <c r="D64" s="17"/>
      <c r="E64" s="17"/>
      <c r="F64" s="18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20"/>
      <c r="V64" s="20"/>
      <c r="W64" s="20"/>
      <c r="X64" s="21"/>
    </row>
    <row r="65" ht="20" customHeight="1" spans="1:24">
      <c r="A65" s="16"/>
      <c r="B65" s="17"/>
      <c r="C65" s="17"/>
      <c r="D65" s="17"/>
      <c r="E65" s="17"/>
      <c r="F65" s="18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0"/>
      <c r="V65" s="20"/>
      <c r="W65" s="20"/>
      <c r="X65" s="21"/>
    </row>
    <row r="66" ht="20" customHeight="1" spans="1:24">
      <c r="A66" s="16"/>
      <c r="B66" s="17"/>
      <c r="C66" s="17"/>
      <c r="D66" s="17"/>
      <c r="E66" s="17"/>
      <c r="F66" s="18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20"/>
      <c r="W66" s="20"/>
      <c r="X66" s="21"/>
    </row>
    <row r="67" ht="20" customHeight="1" spans="1:24">
      <c r="A67" s="16"/>
      <c r="B67" s="17"/>
      <c r="C67" s="17"/>
      <c r="D67" s="17"/>
      <c r="E67" s="17"/>
      <c r="F67" s="18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20"/>
      <c r="V67" s="20"/>
      <c r="W67" s="20"/>
      <c r="X67" s="21"/>
    </row>
    <row r="68" ht="20" customHeight="1" spans="1:24">
      <c r="A68" s="16"/>
      <c r="B68" s="17"/>
      <c r="C68" s="17"/>
      <c r="D68" s="17"/>
      <c r="E68" s="17"/>
      <c r="F68" s="18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20"/>
      <c r="V68" s="20"/>
      <c r="W68" s="20"/>
      <c r="X68" s="21"/>
    </row>
    <row r="69" ht="20" customHeight="1" spans="1:24">
      <c r="A69" s="16"/>
      <c r="B69" s="17"/>
      <c r="C69" s="17"/>
      <c r="D69" s="17"/>
      <c r="E69" s="17"/>
      <c r="F69" s="18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20"/>
      <c r="V69" s="20"/>
      <c r="W69" s="20"/>
      <c r="X69" s="21"/>
    </row>
    <row r="70" ht="20" customHeight="1" spans="1:24">
      <c r="A70" s="16"/>
      <c r="B70" s="17"/>
      <c r="C70" s="17"/>
      <c r="D70" s="17"/>
      <c r="E70" s="17"/>
      <c r="F70" s="18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0"/>
      <c r="V70" s="20"/>
      <c r="W70" s="20"/>
      <c r="X70" s="21"/>
    </row>
    <row r="71" ht="20" customHeight="1" spans="1:24">
      <c r="A71" s="16"/>
      <c r="B71" s="17"/>
      <c r="C71" s="17"/>
      <c r="D71" s="17"/>
      <c r="E71" s="17"/>
      <c r="F71" s="18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0"/>
      <c r="V71" s="20"/>
      <c r="W71" s="20"/>
      <c r="X71" s="21"/>
    </row>
    <row r="72" ht="20" customHeight="1" spans="1:24">
      <c r="A72" s="16"/>
      <c r="B72" s="17"/>
      <c r="C72" s="17"/>
      <c r="D72" s="17"/>
      <c r="E72" s="17"/>
      <c r="F72" s="18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  <c r="V72" s="20"/>
      <c r="W72" s="20"/>
      <c r="X72" s="21"/>
    </row>
    <row r="73" ht="20" customHeight="1" spans="1:24">
      <c r="A73" s="16"/>
      <c r="B73" s="17"/>
      <c r="C73" s="17"/>
      <c r="D73" s="17"/>
      <c r="E73" s="17"/>
      <c r="F73" s="18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20"/>
      <c r="V73" s="20"/>
      <c r="W73" s="20"/>
      <c r="X73" s="21"/>
    </row>
    <row r="74" ht="20" customHeight="1" spans="1:24">
      <c r="A74" s="16"/>
      <c r="B74" s="17"/>
      <c r="C74" s="17"/>
      <c r="D74" s="17"/>
      <c r="E74" s="17"/>
      <c r="F74" s="18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20"/>
      <c r="V74" s="20"/>
      <c r="W74" s="20"/>
      <c r="X74" s="21"/>
    </row>
    <row r="75" ht="20" customHeight="1" spans="1:24">
      <c r="A75" s="16"/>
      <c r="B75" s="17"/>
      <c r="C75" s="17"/>
      <c r="D75" s="17"/>
      <c r="E75" s="17"/>
      <c r="F75" s="18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20"/>
      <c r="V75" s="20"/>
      <c r="W75" s="20"/>
      <c r="X75" s="21"/>
    </row>
    <row r="76" ht="20" customHeight="1" spans="1:24">
      <c r="A76" s="16"/>
      <c r="B76" s="17"/>
      <c r="C76" s="17"/>
      <c r="D76" s="17"/>
      <c r="E76" s="17"/>
      <c r="F76" s="18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20"/>
      <c r="V76" s="20"/>
      <c r="W76" s="20"/>
      <c r="X76" s="21"/>
    </row>
    <row r="77" ht="20" customHeight="1" spans="1:24">
      <c r="A77" s="16"/>
      <c r="B77" s="17"/>
      <c r="C77" s="17"/>
      <c r="D77" s="17"/>
      <c r="E77" s="17"/>
      <c r="F77" s="18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20"/>
      <c r="V77" s="20"/>
      <c r="W77" s="20"/>
      <c r="X77" s="21"/>
    </row>
    <row r="78" ht="20" customHeight="1" spans="1:24">
      <c r="A78" s="16"/>
      <c r="B78" s="17"/>
      <c r="C78" s="17"/>
      <c r="D78" s="17"/>
      <c r="E78" s="17"/>
      <c r="F78" s="18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20"/>
      <c r="V78" s="20"/>
      <c r="W78" s="20"/>
      <c r="X78" s="21"/>
    </row>
    <row r="79" ht="20" customHeight="1" spans="1:24">
      <c r="A79" s="16"/>
      <c r="B79" s="17"/>
      <c r="C79" s="17"/>
      <c r="D79" s="17"/>
      <c r="E79" s="17"/>
      <c r="F79" s="18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20"/>
      <c r="V79" s="20"/>
      <c r="W79" s="20"/>
      <c r="X79" s="21"/>
    </row>
    <row r="80" ht="20" customHeight="1" spans="1:24">
      <c r="A80" s="16"/>
      <c r="B80" s="17"/>
      <c r="C80" s="17"/>
      <c r="D80" s="17"/>
      <c r="E80" s="17"/>
      <c r="F80" s="18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20"/>
      <c r="V80" s="20"/>
      <c r="W80" s="20"/>
      <c r="X80" s="21"/>
    </row>
    <row r="81" ht="20" customHeight="1" spans="1:24">
      <c r="A81" s="16"/>
      <c r="B81" s="17"/>
      <c r="C81" s="17"/>
      <c r="D81" s="17"/>
      <c r="E81" s="17"/>
      <c r="F81" s="18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20"/>
      <c r="V81" s="20"/>
      <c r="W81" s="20"/>
      <c r="X81" s="21"/>
    </row>
    <row r="82" ht="20" customHeight="1" spans="1:24">
      <c r="A82" s="16"/>
      <c r="B82" s="17"/>
      <c r="C82" s="17"/>
      <c r="D82" s="17"/>
      <c r="E82" s="17"/>
      <c r="F82" s="18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20"/>
      <c r="V82" s="20"/>
      <c r="W82" s="20"/>
      <c r="X82" s="21"/>
    </row>
    <row r="83" ht="20" customHeight="1" spans="1:24">
      <c r="A83" s="16"/>
      <c r="B83" s="17"/>
      <c r="C83" s="17"/>
      <c r="D83" s="17"/>
      <c r="E83" s="17"/>
      <c r="F83" s="18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20"/>
      <c r="V83" s="20"/>
      <c r="W83" s="20"/>
      <c r="X83" s="21"/>
    </row>
    <row r="84" ht="20" customHeight="1" spans="1:24">
      <c r="A84" s="16"/>
      <c r="B84" s="17"/>
      <c r="C84" s="17"/>
      <c r="D84" s="17"/>
      <c r="E84" s="17"/>
      <c r="F84" s="18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20"/>
      <c r="V84" s="20"/>
      <c r="W84" s="20"/>
      <c r="X84" s="21"/>
    </row>
    <row r="85" ht="20" customHeight="1" spans="1:24">
      <c r="A85" s="16"/>
      <c r="B85" s="17"/>
      <c r="C85" s="17"/>
      <c r="D85" s="17"/>
      <c r="E85" s="17"/>
      <c r="F85" s="18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20"/>
      <c r="V85" s="20"/>
      <c r="W85" s="20"/>
      <c r="X85" s="21"/>
    </row>
    <row r="86" ht="20" customHeight="1" spans="1:24">
      <c r="A86" s="16"/>
      <c r="B86" s="17"/>
      <c r="C86" s="17"/>
      <c r="D86" s="17"/>
      <c r="E86" s="17"/>
      <c r="F86" s="18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20"/>
      <c r="V86" s="20"/>
      <c r="W86" s="20"/>
      <c r="X86" s="21"/>
    </row>
    <row r="87" ht="20" customHeight="1" spans="1:24">
      <c r="A87" s="16"/>
      <c r="B87" s="17"/>
      <c r="C87" s="17"/>
      <c r="D87" s="17"/>
      <c r="E87" s="17"/>
      <c r="F87" s="18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20"/>
      <c r="V87" s="20"/>
      <c r="W87" s="20"/>
      <c r="X87" s="21"/>
    </row>
    <row r="88" ht="20" customHeight="1" spans="1:24">
      <c r="A88" s="16"/>
      <c r="B88" s="17"/>
      <c r="C88" s="17"/>
      <c r="D88" s="17"/>
      <c r="E88" s="17"/>
      <c r="F88" s="18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20"/>
      <c r="V88" s="20"/>
      <c r="W88" s="20"/>
      <c r="X88" s="21"/>
    </row>
    <row r="89" ht="20" customHeight="1" spans="1:24">
      <c r="A89" s="16"/>
      <c r="B89" s="17"/>
      <c r="C89" s="17"/>
      <c r="D89" s="17"/>
      <c r="E89" s="17"/>
      <c r="F89" s="18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0"/>
      <c r="V89" s="20"/>
      <c r="W89" s="20"/>
      <c r="X89" s="21"/>
    </row>
    <row r="90" ht="20" customHeight="1" spans="1:24">
      <c r="A90" s="16"/>
      <c r="B90" s="17"/>
      <c r="C90" s="17"/>
      <c r="D90" s="17"/>
      <c r="E90" s="17"/>
      <c r="F90" s="18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20"/>
      <c r="V90" s="20"/>
      <c r="W90" s="20"/>
      <c r="X90" s="21"/>
    </row>
    <row r="91" ht="20" customHeight="1" spans="1:24">
      <c r="A91" s="16"/>
      <c r="B91" s="17"/>
      <c r="C91" s="17"/>
      <c r="D91" s="17"/>
      <c r="E91" s="17"/>
      <c r="F91" s="18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20"/>
      <c r="V91" s="20"/>
      <c r="W91" s="20"/>
      <c r="X91" s="21"/>
    </row>
    <row r="92" ht="20" customHeight="1" spans="1:24">
      <c r="A92" s="16"/>
      <c r="B92" s="17"/>
      <c r="C92" s="17"/>
      <c r="D92" s="17"/>
      <c r="E92" s="17"/>
      <c r="F92" s="18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20"/>
      <c r="V92" s="20"/>
      <c r="W92" s="20"/>
      <c r="X92" s="21"/>
    </row>
    <row r="93" ht="20" customHeight="1" spans="1:24">
      <c r="A93" s="16"/>
      <c r="B93" s="17"/>
      <c r="C93" s="17"/>
      <c r="D93" s="17"/>
      <c r="E93" s="17"/>
      <c r="F93" s="18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20"/>
      <c r="V93" s="20"/>
      <c r="W93" s="20"/>
      <c r="X93" s="21"/>
    </row>
    <row r="94" ht="20" customHeight="1" spans="1:24">
      <c r="A94" s="16"/>
      <c r="B94" s="17"/>
      <c r="C94" s="17"/>
      <c r="D94" s="17"/>
      <c r="E94" s="17"/>
      <c r="F94" s="18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20"/>
      <c r="V94" s="20"/>
      <c r="W94" s="20"/>
      <c r="X94" s="21"/>
    </row>
    <row r="95" ht="20" customHeight="1" spans="1:24">
      <c r="A95" s="16"/>
      <c r="B95" s="17"/>
      <c r="C95" s="17"/>
      <c r="D95" s="17"/>
      <c r="E95" s="17"/>
      <c r="F95" s="18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20"/>
      <c r="V95" s="20"/>
      <c r="W95" s="20"/>
      <c r="X95" s="21"/>
    </row>
    <row r="96" ht="20" customHeight="1" spans="1:24">
      <c r="A96" s="16"/>
      <c r="B96" s="17"/>
      <c r="C96" s="17"/>
      <c r="D96" s="17"/>
      <c r="E96" s="17"/>
      <c r="F96" s="18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20"/>
      <c r="V96" s="20"/>
      <c r="W96" s="20"/>
      <c r="X96" s="21"/>
    </row>
    <row r="97" ht="20" customHeight="1" spans="1:24">
      <c r="A97" s="16"/>
      <c r="B97" s="17"/>
      <c r="C97" s="17"/>
      <c r="D97" s="17"/>
      <c r="E97" s="17"/>
      <c r="F97" s="18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20"/>
      <c r="V97" s="20"/>
      <c r="W97" s="20"/>
      <c r="X97" s="21"/>
    </row>
    <row r="98" ht="20" customHeight="1" spans="1:24">
      <c r="A98" s="16"/>
      <c r="B98" s="17"/>
      <c r="C98" s="17"/>
      <c r="D98" s="17"/>
      <c r="E98" s="17"/>
      <c r="F98" s="18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20"/>
      <c r="V98" s="20"/>
      <c r="W98" s="20"/>
      <c r="X98" s="21"/>
    </row>
    <row r="99" ht="20" customHeight="1" spans="1:24">
      <c r="A99" s="16"/>
      <c r="B99" s="17"/>
      <c r="C99" s="17"/>
      <c r="D99" s="17"/>
      <c r="E99" s="17"/>
      <c r="F99" s="18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20"/>
      <c r="V99" s="20"/>
      <c r="W99" s="20"/>
      <c r="X99" s="21"/>
    </row>
    <row r="100" ht="20" customHeight="1" spans="1:24">
      <c r="A100" s="16"/>
      <c r="B100" s="17"/>
      <c r="C100" s="17"/>
      <c r="D100" s="17"/>
      <c r="E100" s="17"/>
      <c r="F100" s="18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20"/>
      <c r="V100" s="20"/>
      <c r="W100" s="20"/>
      <c r="X100" s="21"/>
    </row>
    <row r="101" ht="20" customHeight="1" spans="1:24">
      <c r="A101" s="16"/>
      <c r="B101" s="17"/>
      <c r="C101" s="17"/>
      <c r="D101" s="17"/>
      <c r="E101" s="17"/>
      <c r="F101" s="18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20"/>
      <c r="V101" s="20"/>
      <c r="W101" s="20"/>
      <c r="X101" s="21"/>
    </row>
    <row r="102" ht="20" customHeight="1" spans="1:24">
      <c r="A102" s="16"/>
      <c r="B102" s="17"/>
      <c r="C102" s="17"/>
      <c r="D102" s="17"/>
      <c r="E102" s="17"/>
      <c r="F102" s="18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20"/>
      <c r="V102" s="20"/>
      <c r="W102" s="20"/>
      <c r="X102" s="21"/>
    </row>
    <row r="103" ht="20" customHeight="1" spans="1:24">
      <c r="A103" s="16"/>
      <c r="B103" s="17"/>
      <c r="C103" s="17"/>
      <c r="D103" s="17"/>
      <c r="E103" s="17"/>
      <c r="F103" s="18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20"/>
      <c r="V103" s="20"/>
      <c r="W103" s="20"/>
      <c r="X103" s="21"/>
    </row>
    <row r="104" ht="20" customHeight="1" spans="1:24">
      <c r="A104" s="16"/>
      <c r="B104" s="17"/>
      <c r="C104" s="17"/>
      <c r="D104" s="17"/>
      <c r="E104" s="17"/>
      <c r="F104" s="18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20"/>
      <c r="V104" s="20"/>
      <c r="W104" s="20"/>
      <c r="X104" s="21"/>
    </row>
    <row r="105" ht="20" customHeight="1" spans="1:24">
      <c r="A105" s="16"/>
      <c r="B105" s="17"/>
      <c r="C105" s="17"/>
      <c r="D105" s="17"/>
      <c r="E105" s="17"/>
      <c r="F105" s="18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20"/>
      <c r="V105" s="20"/>
      <c r="W105" s="20"/>
      <c r="X105" s="21"/>
    </row>
    <row r="106" ht="20" customHeight="1" spans="1:24">
      <c r="A106" s="16"/>
      <c r="B106" s="17"/>
      <c r="C106" s="17"/>
      <c r="D106" s="17"/>
      <c r="E106" s="17"/>
      <c r="F106" s="18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20"/>
      <c r="V106" s="20"/>
      <c r="W106" s="20"/>
      <c r="X106" s="21"/>
    </row>
    <row r="107" ht="20" customHeight="1" spans="1:24">
      <c r="A107" s="16"/>
      <c r="B107" s="17"/>
      <c r="C107" s="17"/>
      <c r="D107" s="17"/>
      <c r="E107" s="17"/>
      <c r="F107" s="18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20"/>
      <c r="V107" s="20"/>
      <c r="W107" s="20"/>
      <c r="X107" s="21"/>
    </row>
    <row r="108" ht="20" customHeight="1" spans="1:24">
      <c r="A108" s="16"/>
      <c r="B108" s="17"/>
      <c r="C108" s="17"/>
      <c r="D108" s="17"/>
      <c r="E108" s="17"/>
      <c r="F108" s="18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20"/>
      <c r="V108" s="20"/>
      <c r="W108" s="20"/>
      <c r="X108" s="21"/>
    </row>
    <row r="109" ht="20" customHeight="1" spans="1:24">
      <c r="A109" s="16"/>
      <c r="B109" s="17"/>
      <c r="C109" s="17"/>
      <c r="D109" s="17"/>
      <c r="E109" s="17"/>
      <c r="F109" s="18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20"/>
      <c r="V109" s="20"/>
      <c r="W109" s="20"/>
      <c r="X109" s="21"/>
    </row>
    <row r="110" ht="20" customHeight="1" spans="1:24">
      <c r="A110" s="16"/>
      <c r="B110" s="17"/>
      <c r="C110" s="17"/>
      <c r="D110" s="17"/>
      <c r="E110" s="17"/>
      <c r="F110" s="18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20"/>
      <c r="V110" s="20"/>
      <c r="W110" s="20"/>
      <c r="X110" s="21"/>
    </row>
    <row r="111" ht="20" customHeight="1" spans="1:24">
      <c r="A111" s="16"/>
      <c r="B111" s="17"/>
      <c r="C111" s="17"/>
      <c r="D111" s="17"/>
      <c r="E111" s="17"/>
      <c r="F111" s="18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20"/>
      <c r="V111" s="20"/>
      <c r="W111" s="20"/>
      <c r="X111" s="21"/>
    </row>
    <row r="112" ht="20" customHeight="1" spans="1:24">
      <c r="A112" s="16"/>
      <c r="B112" s="17"/>
      <c r="C112" s="17"/>
      <c r="D112" s="17"/>
      <c r="E112" s="17"/>
      <c r="F112" s="18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20"/>
      <c r="V112" s="20"/>
      <c r="W112" s="20"/>
      <c r="X112" s="21"/>
    </row>
    <row r="113" ht="20" customHeight="1" spans="1:24">
      <c r="A113" s="16"/>
      <c r="B113" s="17"/>
      <c r="C113" s="17"/>
      <c r="D113" s="17"/>
      <c r="E113" s="17"/>
      <c r="F113" s="18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20"/>
      <c r="V113" s="20"/>
      <c r="W113" s="20"/>
      <c r="X113" s="21"/>
    </row>
    <row r="114" ht="20" customHeight="1" spans="1:24">
      <c r="A114" s="16"/>
      <c r="B114" s="17"/>
      <c r="C114" s="17"/>
      <c r="D114" s="17"/>
      <c r="E114" s="17"/>
      <c r="F114" s="18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20"/>
      <c r="V114" s="20"/>
      <c r="W114" s="20"/>
      <c r="X114" s="21"/>
    </row>
    <row r="115" ht="20" customHeight="1" spans="1:24">
      <c r="A115" s="16"/>
      <c r="B115" s="17"/>
      <c r="C115" s="17"/>
      <c r="D115" s="17"/>
      <c r="E115" s="17"/>
      <c r="F115" s="18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20"/>
      <c r="V115" s="20"/>
      <c r="W115" s="20"/>
      <c r="X115" s="21"/>
    </row>
    <row r="116" ht="20" customHeight="1" spans="1:24">
      <c r="A116" s="16"/>
      <c r="B116" s="17"/>
      <c r="C116" s="17"/>
      <c r="D116" s="17"/>
      <c r="E116" s="17"/>
      <c r="F116" s="18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20"/>
      <c r="V116" s="20"/>
      <c r="W116" s="20"/>
      <c r="X116" s="21"/>
    </row>
    <row r="117" ht="20" customHeight="1" spans="1:24">
      <c r="A117" s="16"/>
      <c r="B117" s="17"/>
      <c r="C117" s="17"/>
      <c r="D117" s="17"/>
      <c r="E117" s="17"/>
      <c r="F117" s="18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20"/>
      <c r="V117" s="20"/>
      <c r="W117" s="20"/>
      <c r="X117" s="21"/>
    </row>
    <row r="118" ht="20" customHeight="1" spans="1:24">
      <c r="A118" s="16"/>
      <c r="B118" s="17"/>
      <c r="C118" s="17"/>
      <c r="D118" s="17"/>
      <c r="E118" s="17"/>
      <c r="F118" s="18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20"/>
      <c r="V118" s="20"/>
      <c r="W118" s="20"/>
      <c r="X118" s="21"/>
    </row>
    <row r="119" ht="20" customHeight="1" spans="1:24">
      <c r="A119" s="16"/>
      <c r="B119" s="17"/>
      <c r="C119" s="17"/>
      <c r="D119" s="17"/>
      <c r="E119" s="17"/>
      <c r="F119" s="18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20"/>
      <c r="V119" s="20"/>
      <c r="W119" s="20"/>
      <c r="X119" s="21"/>
    </row>
    <row r="120" ht="20" customHeight="1" spans="1:24">
      <c r="A120" s="16"/>
      <c r="B120" s="17"/>
      <c r="C120" s="17"/>
      <c r="D120" s="17"/>
      <c r="E120" s="17"/>
      <c r="F120" s="18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20"/>
      <c r="V120" s="20"/>
      <c r="W120" s="20"/>
      <c r="X120" s="21"/>
    </row>
    <row r="121" ht="20" customHeight="1" spans="1:24">
      <c r="A121" s="16"/>
      <c r="B121" s="17"/>
      <c r="C121" s="17"/>
      <c r="D121" s="17"/>
      <c r="E121" s="17"/>
      <c r="F121" s="18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20"/>
      <c r="V121" s="20"/>
      <c r="W121" s="20"/>
      <c r="X121" s="21"/>
    </row>
    <row r="122" ht="20" customHeight="1" spans="1:24">
      <c r="A122" s="16"/>
      <c r="B122" s="17"/>
      <c r="C122" s="17"/>
      <c r="D122" s="17"/>
      <c r="E122" s="17"/>
      <c r="F122" s="18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0"/>
      <c r="X122" s="21"/>
    </row>
    <row r="123" ht="20" customHeight="1" spans="1:24">
      <c r="A123" s="16"/>
      <c r="B123" s="17"/>
      <c r="C123" s="17"/>
      <c r="D123" s="17"/>
      <c r="E123" s="17"/>
      <c r="F123" s="18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20"/>
      <c r="V123" s="20"/>
      <c r="W123" s="20"/>
      <c r="X123" s="21"/>
    </row>
    <row r="124" ht="20" customHeight="1" spans="1:24">
      <c r="A124" s="16"/>
      <c r="B124" s="17"/>
      <c r="C124" s="17"/>
      <c r="D124" s="17"/>
      <c r="E124" s="17"/>
      <c r="F124" s="18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20"/>
      <c r="V124" s="20"/>
      <c r="W124" s="20"/>
      <c r="X124" s="21"/>
    </row>
    <row r="125" ht="20" customHeight="1" spans="1:24">
      <c r="A125" s="16"/>
      <c r="B125" s="17"/>
      <c r="C125" s="17"/>
      <c r="D125" s="17"/>
      <c r="E125" s="17"/>
      <c r="F125" s="18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20"/>
      <c r="V125" s="20"/>
      <c r="W125" s="20"/>
      <c r="X125" s="21"/>
    </row>
    <row r="126" ht="20" customHeight="1" spans="1:24">
      <c r="A126" s="16"/>
      <c r="B126" s="17"/>
      <c r="C126" s="17"/>
      <c r="D126" s="17"/>
      <c r="E126" s="17"/>
      <c r="F126" s="18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20"/>
      <c r="V126" s="20"/>
      <c r="W126" s="20"/>
      <c r="X126" s="21"/>
    </row>
    <row r="127" ht="20" customHeight="1" spans="1:24">
      <c r="A127" s="16"/>
      <c r="B127" s="17"/>
      <c r="C127" s="17"/>
      <c r="D127" s="17"/>
      <c r="E127" s="17"/>
      <c r="F127" s="18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20"/>
      <c r="V127" s="20"/>
      <c r="W127" s="20"/>
      <c r="X127" s="21"/>
    </row>
    <row r="128" ht="20" customHeight="1" spans="1:24">
      <c r="A128" s="16"/>
      <c r="B128" s="17"/>
      <c r="C128" s="17"/>
      <c r="D128" s="17"/>
      <c r="E128" s="17"/>
      <c r="F128" s="18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20"/>
      <c r="V128" s="20"/>
      <c r="W128" s="20"/>
      <c r="X128" s="21"/>
    </row>
    <row r="129" ht="20" customHeight="1" spans="1:24">
      <c r="A129" s="16"/>
      <c r="B129" s="17"/>
      <c r="C129" s="17"/>
      <c r="D129" s="17"/>
      <c r="E129" s="17"/>
      <c r="F129" s="18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20"/>
      <c r="V129" s="20"/>
      <c r="W129" s="20"/>
      <c r="X129" s="21"/>
    </row>
    <row r="130" ht="20" customHeight="1" spans="1:24">
      <c r="A130" s="16"/>
      <c r="B130" s="17"/>
      <c r="C130" s="17"/>
      <c r="D130" s="17"/>
      <c r="E130" s="17"/>
      <c r="F130" s="18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20"/>
      <c r="V130" s="20"/>
      <c r="W130" s="20"/>
      <c r="X130" s="21"/>
    </row>
    <row r="131" ht="20" customHeight="1" spans="1:24">
      <c r="A131" s="16"/>
      <c r="B131" s="17"/>
      <c r="C131" s="17"/>
      <c r="D131" s="17"/>
      <c r="E131" s="17"/>
      <c r="F131" s="18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20"/>
      <c r="V131" s="20"/>
      <c r="W131" s="20"/>
      <c r="X131" s="21"/>
    </row>
    <row r="132" ht="20" customHeight="1" spans="1:24">
      <c r="A132" s="16"/>
      <c r="B132" s="17"/>
      <c r="C132" s="17"/>
      <c r="D132" s="17"/>
      <c r="E132" s="17"/>
      <c r="F132" s="18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20"/>
      <c r="V132" s="20"/>
      <c r="W132" s="20"/>
      <c r="X132" s="21"/>
    </row>
    <row r="133" ht="20" customHeight="1" spans="1:24">
      <c r="A133" s="16"/>
      <c r="B133" s="17"/>
      <c r="C133" s="17"/>
      <c r="D133" s="17"/>
      <c r="E133" s="17"/>
      <c r="F133" s="18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20"/>
      <c r="V133" s="20"/>
      <c r="W133" s="20"/>
      <c r="X133" s="21"/>
    </row>
    <row r="134" ht="20" customHeight="1" spans="1:24">
      <c r="A134" s="16"/>
      <c r="B134" s="17"/>
      <c r="C134" s="17"/>
      <c r="D134" s="17"/>
      <c r="E134" s="17"/>
      <c r="F134" s="18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20"/>
      <c r="V134" s="20"/>
      <c r="W134" s="20"/>
      <c r="X134" s="21"/>
    </row>
    <row r="135" ht="20" customHeight="1" spans="1:24">
      <c r="A135" s="16"/>
      <c r="B135" s="17"/>
      <c r="C135" s="17"/>
      <c r="D135" s="17"/>
      <c r="E135" s="17"/>
      <c r="F135" s="18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20"/>
      <c r="V135" s="20"/>
      <c r="W135" s="20"/>
      <c r="X135" s="21"/>
    </row>
    <row r="136" ht="20" customHeight="1" spans="1:24">
      <c r="A136" s="16"/>
      <c r="B136" s="17"/>
      <c r="C136" s="17"/>
      <c r="D136" s="17"/>
      <c r="E136" s="17"/>
      <c r="F136" s="18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20"/>
      <c r="V136" s="20"/>
      <c r="W136" s="20"/>
      <c r="X136" s="21"/>
    </row>
    <row r="137" ht="20" customHeight="1" spans="1:24">
      <c r="A137" s="16"/>
      <c r="B137" s="17"/>
      <c r="C137" s="17"/>
      <c r="D137" s="17"/>
      <c r="E137" s="17"/>
      <c r="F137" s="18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20"/>
      <c r="V137" s="20"/>
      <c r="W137" s="20"/>
      <c r="X137" s="21"/>
    </row>
    <row r="138" ht="20" customHeight="1" spans="1:24">
      <c r="A138" s="16"/>
      <c r="B138" s="17"/>
      <c r="C138" s="17"/>
      <c r="D138" s="17"/>
      <c r="E138" s="17"/>
      <c r="F138" s="18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20"/>
      <c r="V138" s="20"/>
      <c r="W138" s="20"/>
      <c r="X138" s="21"/>
    </row>
    <row r="139" ht="20" customHeight="1" spans="1:24">
      <c r="A139" s="16"/>
      <c r="B139" s="17"/>
      <c r="C139" s="17"/>
      <c r="D139" s="17"/>
      <c r="E139" s="17"/>
      <c r="F139" s="18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20"/>
      <c r="V139" s="20"/>
      <c r="W139" s="20"/>
      <c r="X139" s="21"/>
    </row>
    <row r="140" ht="20" customHeight="1" spans="1:24">
      <c r="A140" s="16"/>
      <c r="B140" s="17"/>
      <c r="C140" s="17"/>
      <c r="D140" s="17"/>
      <c r="E140" s="17"/>
      <c r="F140" s="18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20"/>
      <c r="V140" s="20"/>
      <c r="W140" s="20"/>
      <c r="X140" s="21"/>
    </row>
    <row r="141" ht="20" customHeight="1" spans="1:24">
      <c r="A141" s="16"/>
      <c r="B141" s="17"/>
      <c r="C141" s="17"/>
      <c r="D141" s="17"/>
      <c r="E141" s="17"/>
      <c r="F141" s="18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20"/>
      <c r="V141" s="20"/>
      <c r="W141" s="20"/>
      <c r="X141" s="21"/>
    </row>
    <row r="142" ht="20" customHeight="1" spans="1:24">
      <c r="A142" s="16"/>
      <c r="B142" s="17"/>
      <c r="C142" s="17"/>
      <c r="D142" s="17"/>
      <c r="E142" s="17"/>
      <c r="F142" s="18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20"/>
      <c r="V142" s="20"/>
      <c r="W142" s="20"/>
      <c r="X142" s="21"/>
    </row>
    <row r="143" ht="20" customHeight="1" spans="1:24">
      <c r="A143" s="16"/>
      <c r="B143" s="17"/>
      <c r="C143" s="17"/>
      <c r="D143" s="17"/>
      <c r="E143" s="17"/>
      <c r="F143" s="18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20"/>
      <c r="V143" s="20"/>
      <c r="W143" s="20"/>
      <c r="X143" s="21"/>
    </row>
    <row r="144" ht="20" customHeight="1" spans="1:24">
      <c r="A144" s="16"/>
      <c r="B144" s="17"/>
      <c r="C144" s="17"/>
      <c r="D144" s="17"/>
      <c r="E144" s="17"/>
      <c r="F144" s="18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20"/>
      <c r="V144" s="20"/>
      <c r="W144" s="20"/>
      <c r="X144" s="21"/>
    </row>
    <row r="145" ht="20" customHeight="1" spans="1:24">
      <c r="A145" s="16"/>
      <c r="B145" s="17"/>
      <c r="C145" s="17"/>
      <c r="D145" s="17"/>
      <c r="E145" s="17"/>
      <c r="F145" s="18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20"/>
      <c r="V145" s="20"/>
      <c r="W145" s="20"/>
      <c r="X145" s="21"/>
    </row>
    <row r="146" ht="20" customHeight="1" spans="1:24">
      <c r="A146" s="16"/>
      <c r="B146" s="17"/>
      <c r="C146" s="17"/>
      <c r="D146" s="17"/>
      <c r="E146" s="17"/>
      <c r="F146" s="18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20"/>
      <c r="V146" s="20"/>
      <c r="W146" s="20"/>
      <c r="X146" s="21"/>
    </row>
    <row r="147" ht="20" customHeight="1" spans="1:24">
      <c r="A147" s="16"/>
      <c r="B147" s="17"/>
      <c r="C147" s="17"/>
      <c r="D147" s="17"/>
      <c r="E147" s="17"/>
      <c r="F147" s="18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20"/>
      <c r="V147" s="20"/>
      <c r="W147" s="20"/>
      <c r="X147" s="21"/>
    </row>
    <row r="148" ht="20" customHeight="1" spans="1:24">
      <c r="A148" s="16"/>
      <c r="B148" s="17"/>
      <c r="C148" s="17"/>
      <c r="D148" s="17"/>
      <c r="E148" s="17"/>
      <c r="F148" s="18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20"/>
      <c r="V148" s="20"/>
      <c r="W148" s="20"/>
      <c r="X148" s="21"/>
    </row>
    <row r="149" ht="20" customHeight="1" spans="1:24">
      <c r="A149" s="16"/>
      <c r="B149" s="17"/>
      <c r="C149" s="17"/>
      <c r="D149" s="17"/>
      <c r="E149" s="17"/>
      <c r="F149" s="18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20"/>
      <c r="V149" s="20"/>
      <c r="W149" s="20"/>
      <c r="X149" s="21"/>
    </row>
    <row r="150" ht="20" customHeight="1" spans="1:24">
      <c r="A150" s="16"/>
      <c r="B150" s="17"/>
      <c r="C150" s="17"/>
      <c r="D150" s="17"/>
      <c r="E150" s="17"/>
      <c r="F150" s="18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20"/>
      <c r="V150" s="20"/>
      <c r="W150" s="20"/>
      <c r="X150" s="21"/>
    </row>
    <row r="151" ht="20" customHeight="1" spans="1:24">
      <c r="A151" s="16"/>
      <c r="B151" s="17"/>
      <c r="C151" s="17"/>
      <c r="D151" s="17"/>
      <c r="E151" s="17"/>
      <c r="F151" s="18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20"/>
      <c r="V151" s="20"/>
      <c r="W151" s="20"/>
      <c r="X151" s="21"/>
    </row>
    <row r="152" ht="20" customHeight="1" spans="1:24">
      <c r="A152" s="16"/>
      <c r="B152" s="17"/>
      <c r="C152" s="17"/>
      <c r="D152" s="17"/>
      <c r="E152" s="17"/>
      <c r="F152" s="18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20"/>
      <c r="V152" s="20"/>
      <c r="W152" s="20"/>
      <c r="X152" s="21"/>
    </row>
    <row r="153" ht="20" customHeight="1" spans="1:24">
      <c r="A153" s="16"/>
      <c r="B153" s="17"/>
      <c r="C153" s="17"/>
      <c r="D153" s="17"/>
      <c r="E153" s="17"/>
      <c r="F153" s="18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20"/>
      <c r="V153" s="20"/>
      <c r="W153" s="20"/>
      <c r="X153" s="21"/>
    </row>
    <row r="154" ht="20" customHeight="1" spans="1:24">
      <c r="A154" s="16"/>
      <c r="B154" s="17"/>
      <c r="C154" s="17"/>
      <c r="D154" s="17"/>
      <c r="E154" s="17"/>
      <c r="F154" s="18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20"/>
      <c r="V154" s="20"/>
      <c r="W154" s="20"/>
      <c r="X154" s="21"/>
    </row>
    <row r="155" ht="20" customHeight="1" spans="1:24">
      <c r="A155" s="16"/>
      <c r="B155" s="17"/>
      <c r="C155" s="17"/>
      <c r="D155" s="17"/>
      <c r="E155" s="17"/>
      <c r="F155" s="18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20"/>
      <c r="V155" s="20"/>
      <c r="W155" s="20"/>
      <c r="X155" s="21"/>
    </row>
    <row r="156" ht="20" customHeight="1" spans="1:24">
      <c r="A156" s="16"/>
      <c r="B156" s="17"/>
      <c r="C156" s="17"/>
      <c r="D156" s="17"/>
      <c r="E156" s="17"/>
      <c r="F156" s="18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20"/>
      <c r="V156" s="20"/>
      <c r="W156" s="20"/>
      <c r="X156" s="21"/>
    </row>
    <row r="157" ht="20" customHeight="1" spans="1:24">
      <c r="A157" s="16"/>
      <c r="B157" s="17"/>
      <c r="C157" s="17"/>
      <c r="D157" s="17"/>
      <c r="E157" s="17"/>
      <c r="F157" s="18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20"/>
      <c r="V157" s="20"/>
      <c r="W157" s="20"/>
      <c r="X157" s="21"/>
    </row>
    <row r="158" ht="20" customHeight="1" spans="1:24">
      <c r="A158" s="16"/>
      <c r="B158" s="17"/>
      <c r="C158" s="17"/>
      <c r="D158" s="17"/>
      <c r="E158" s="17"/>
      <c r="F158" s="18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20"/>
      <c r="V158" s="20"/>
      <c r="W158" s="20"/>
      <c r="X158" s="21"/>
    </row>
    <row r="159" ht="20" customHeight="1" spans="1:24">
      <c r="A159" s="16"/>
      <c r="B159" s="17"/>
      <c r="C159" s="17"/>
      <c r="D159" s="17"/>
      <c r="E159" s="17"/>
      <c r="F159" s="18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20"/>
      <c r="V159" s="20"/>
      <c r="W159" s="20"/>
      <c r="X159" s="21"/>
    </row>
    <row r="160" ht="20" customHeight="1" spans="1:24">
      <c r="A160" s="16"/>
      <c r="B160" s="17"/>
      <c r="C160" s="17"/>
      <c r="D160" s="17"/>
      <c r="E160" s="17"/>
      <c r="F160" s="18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20"/>
      <c r="V160" s="20"/>
      <c r="W160" s="20"/>
      <c r="X160" s="21"/>
    </row>
    <row r="161" ht="20" customHeight="1" spans="1:24">
      <c r="A161" s="16"/>
      <c r="B161" s="17"/>
      <c r="C161" s="17"/>
      <c r="D161" s="17"/>
      <c r="E161" s="17"/>
      <c r="F161" s="18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20"/>
      <c r="V161" s="20"/>
      <c r="W161" s="20"/>
      <c r="X161" s="21"/>
    </row>
    <row r="162" ht="20" customHeight="1" spans="1:24">
      <c r="A162" s="16"/>
      <c r="B162" s="17"/>
      <c r="C162" s="17"/>
      <c r="D162" s="17"/>
      <c r="E162" s="17"/>
      <c r="F162" s="18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20"/>
      <c r="V162" s="20"/>
      <c r="W162" s="20"/>
      <c r="X162" s="21"/>
    </row>
    <row r="163" ht="20" customHeight="1" spans="1:24">
      <c r="A163" s="16"/>
      <c r="B163" s="17"/>
      <c r="C163" s="17"/>
      <c r="D163" s="17"/>
      <c r="E163" s="17"/>
      <c r="F163" s="18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20"/>
      <c r="V163" s="20"/>
      <c r="W163" s="20"/>
      <c r="X163" s="21"/>
    </row>
    <row r="164" ht="20" customHeight="1" spans="1:24">
      <c r="A164" s="16"/>
      <c r="B164" s="17"/>
      <c r="C164" s="17"/>
      <c r="D164" s="17"/>
      <c r="E164" s="17"/>
      <c r="F164" s="18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20"/>
      <c r="V164" s="20"/>
      <c r="W164" s="20"/>
      <c r="X164" s="21"/>
    </row>
    <row r="165" ht="20" customHeight="1" spans="1:24">
      <c r="A165" s="16"/>
      <c r="B165" s="17"/>
      <c r="C165" s="17"/>
      <c r="D165" s="17"/>
      <c r="E165" s="17"/>
      <c r="F165" s="18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20"/>
      <c r="V165" s="20"/>
      <c r="W165" s="20"/>
      <c r="X165" s="21"/>
    </row>
    <row r="166" ht="20" customHeight="1" spans="1:24">
      <c r="A166" s="16"/>
      <c r="B166" s="17"/>
      <c r="C166" s="17"/>
      <c r="D166" s="17"/>
      <c r="E166" s="17"/>
      <c r="F166" s="18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20"/>
      <c r="V166" s="20"/>
      <c r="W166" s="20"/>
      <c r="X166" s="21"/>
    </row>
    <row r="167" ht="20" customHeight="1" spans="1:24">
      <c r="A167" s="16"/>
      <c r="B167" s="17"/>
      <c r="C167" s="17"/>
      <c r="D167" s="17"/>
      <c r="E167" s="17"/>
      <c r="F167" s="18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20"/>
      <c r="V167" s="20"/>
      <c r="W167" s="20"/>
      <c r="X167" s="21"/>
    </row>
    <row r="168" ht="20" customHeight="1" spans="1:24">
      <c r="A168" s="16"/>
      <c r="B168" s="17"/>
      <c r="C168" s="17"/>
      <c r="D168" s="17"/>
      <c r="E168" s="17"/>
      <c r="F168" s="18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20"/>
      <c r="V168" s="20"/>
      <c r="W168" s="20"/>
      <c r="X168" s="21"/>
    </row>
    <row r="169" ht="20" customHeight="1" spans="1:24">
      <c r="A169" s="16"/>
      <c r="B169" s="17"/>
      <c r="C169" s="17"/>
      <c r="D169" s="17"/>
      <c r="E169" s="17"/>
      <c r="F169" s="18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20"/>
      <c r="V169" s="20"/>
      <c r="W169" s="20"/>
      <c r="X169" s="21"/>
    </row>
    <row r="170" ht="20" customHeight="1" spans="1:24">
      <c r="A170" s="16"/>
      <c r="B170" s="17"/>
      <c r="C170" s="17"/>
      <c r="D170" s="17"/>
      <c r="E170" s="17"/>
      <c r="F170" s="18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20"/>
      <c r="V170" s="20"/>
      <c r="W170" s="20"/>
      <c r="X170" s="21"/>
    </row>
    <row r="171" ht="20" customHeight="1" spans="1:24">
      <c r="A171" s="16"/>
      <c r="B171" s="17"/>
      <c r="C171" s="17"/>
      <c r="D171" s="17"/>
      <c r="E171" s="17"/>
      <c r="F171" s="18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20"/>
      <c r="V171" s="20"/>
      <c r="W171" s="20"/>
      <c r="X171" s="21"/>
    </row>
    <row r="172" ht="20" customHeight="1" spans="1:24">
      <c r="A172" s="16"/>
      <c r="B172" s="17"/>
      <c r="C172" s="17"/>
      <c r="D172" s="17"/>
      <c r="E172" s="17"/>
      <c r="F172" s="18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20"/>
      <c r="V172" s="20"/>
      <c r="W172" s="20"/>
      <c r="X172" s="21"/>
    </row>
    <row r="173" ht="20" customHeight="1" spans="1:24">
      <c r="A173" s="16"/>
      <c r="B173" s="17"/>
      <c r="C173" s="17"/>
      <c r="D173" s="17"/>
      <c r="E173" s="17"/>
      <c r="F173" s="18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20"/>
      <c r="V173" s="20"/>
      <c r="W173" s="20"/>
      <c r="X173" s="21"/>
    </row>
    <row r="174" ht="20" customHeight="1" spans="1:24">
      <c r="A174" s="16"/>
      <c r="B174" s="17"/>
      <c r="C174" s="17"/>
      <c r="D174" s="17"/>
      <c r="E174" s="17"/>
      <c r="F174" s="18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20"/>
      <c r="V174" s="20"/>
      <c r="W174" s="20"/>
      <c r="X174" s="21"/>
    </row>
    <row r="175" ht="20" customHeight="1" spans="1:24">
      <c r="A175" s="16"/>
      <c r="B175" s="17"/>
      <c r="C175" s="17"/>
      <c r="D175" s="17"/>
      <c r="E175" s="17"/>
      <c r="F175" s="18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20"/>
      <c r="V175" s="20"/>
      <c r="W175" s="20"/>
      <c r="X175" s="21"/>
    </row>
    <row r="176" ht="20" customHeight="1" spans="1:24">
      <c r="A176" s="16"/>
      <c r="B176" s="17"/>
      <c r="C176" s="17"/>
      <c r="D176" s="17"/>
      <c r="E176" s="17"/>
      <c r="F176" s="18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20"/>
      <c r="V176" s="20"/>
      <c r="W176" s="20"/>
      <c r="X176" s="21"/>
    </row>
    <row r="177" ht="20" customHeight="1" spans="1:24">
      <c r="A177" s="16"/>
      <c r="B177" s="17"/>
      <c r="C177" s="17"/>
      <c r="D177" s="17"/>
      <c r="E177" s="17"/>
      <c r="F177" s="18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20"/>
      <c r="V177" s="20"/>
      <c r="W177" s="20"/>
      <c r="X177" s="21"/>
    </row>
    <row r="178" ht="20" customHeight="1" spans="1:24">
      <c r="A178" s="16"/>
      <c r="B178" s="17"/>
      <c r="C178" s="17"/>
      <c r="D178" s="17"/>
      <c r="E178" s="17"/>
      <c r="F178" s="18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20"/>
      <c r="V178" s="20"/>
      <c r="W178" s="20"/>
      <c r="X178" s="21"/>
    </row>
    <row r="179" ht="20" customHeight="1" spans="1:24">
      <c r="A179" s="16"/>
      <c r="B179" s="17"/>
      <c r="C179" s="17"/>
      <c r="D179" s="17"/>
      <c r="E179" s="17"/>
      <c r="F179" s="18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20"/>
      <c r="V179" s="20"/>
      <c r="W179" s="20"/>
      <c r="X179" s="21"/>
    </row>
    <row r="180" ht="20" customHeight="1" spans="1:24">
      <c r="A180" s="16"/>
      <c r="B180" s="17"/>
      <c r="C180" s="17"/>
      <c r="D180" s="17"/>
      <c r="E180" s="17"/>
      <c r="F180" s="18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20"/>
      <c r="V180" s="20"/>
      <c r="W180" s="20"/>
      <c r="X180" s="21"/>
    </row>
    <row r="181" ht="20" customHeight="1" spans="1:24">
      <c r="A181" s="16"/>
      <c r="B181" s="17"/>
      <c r="C181" s="17"/>
      <c r="D181" s="17"/>
      <c r="E181" s="17"/>
      <c r="F181" s="18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20"/>
      <c r="V181" s="20"/>
      <c r="W181" s="20"/>
      <c r="X181" s="21"/>
    </row>
    <row r="182" ht="20" customHeight="1" spans="1:24">
      <c r="A182" s="16"/>
      <c r="B182" s="17"/>
      <c r="C182" s="17"/>
      <c r="D182" s="17"/>
      <c r="E182" s="17"/>
      <c r="F182" s="18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20"/>
      <c r="V182" s="20"/>
      <c r="W182" s="20"/>
      <c r="X182" s="21"/>
    </row>
    <row r="183" ht="20" customHeight="1" spans="1:24">
      <c r="A183" s="16"/>
      <c r="B183" s="17"/>
      <c r="C183" s="17"/>
      <c r="D183" s="17"/>
      <c r="E183" s="17"/>
      <c r="F183" s="18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20"/>
      <c r="V183" s="20"/>
      <c r="W183" s="20"/>
      <c r="X183" s="21"/>
    </row>
    <row r="184" ht="20" customHeight="1" spans="1:24">
      <c r="A184" s="16"/>
      <c r="B184" s="17"/>
      <c r="C184" s="17"/>
      <c r="D184" s="17"/>
      <c r="E184" s="17"/>
      <c r="F184" s="18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20"/>
      <c r="V184" s="20"/>
      <c r="W184" s="20"/>
      <c r="X184" s="21"/>
    </row>
    <row r="185" ht="20" customHeight="1" spans="1:24">
      <c r="A185" s="16"/>
      <c r="B185" s="17"/>
      <c r="C185" s="17"/>
      <c r="D185" s="17"/>
      <c r="E185" s="17"/>
      <c r="F185" s="18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20"/>
      <c r="V185" s="20"/>
      <c r="W185" s="20"/>
      <c r="X185" s="21"/>
    </row>
    <row r="186" ht="20" customHeight="1" spans="1:24">
      <c r="A186" s="16"/>
      <c r="B186" s="17"/>
      <c r="C186" s="17"/>
      <c r="D186" s="17"/>
      <c r="E186" s="17"/>
      <c r="F186" s="18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20"/>
      <c r="V186" s="20"/>
      <c r="W186" s="20"/>
      <c r="X186" s="21"/>
    </row>
    <row r="187" ht="20" customHeight="1" spans="1:24">
      <c r="A187" s="16"/>
      <c r="B187" s="17"/>
      <c r="C187" s="17"/>
      <c r="D187" s="17"/>
      <c r="E187" s="17"/>
      <c r="F187" s="18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20"/>
      <c r="V187" s="20"/>
      <c r="W187" s="20"/>
      <c r="X187" s="21"/>
    </row>
    <row r="188" ht="20" customHeight="1" spans="1:24">
      <c r="A188" s="16"/>
      <c r="B188" s="17"/>
      <c r="C188" s="17"/>
      <c r="D188" s="17"/>
      <c r="E188" s="17"/>
      <c r="F188" s="18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20"/>
      <c r="V188" s="20"/>
      <c r="W188" s="20"/>
      <c r="X188" s="21"/>
    </row>
    <row r="189" ht="20" customHeight="1" spans="1:24">
      <c r="A189" s="16"/>
      <c r="B189" s="17"/>
      <c r="C189" s="17"/>
      <c r="D189" s="17"/>
      <c r="E189" s="17"/>
      <c r="F189" s="18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20"/>
      <c r="V189" s="20"/>
      <c r="W189" s="20"/>
      <c r="X189" s="21"/>
    </row>
    <row r="190" ht="20" customHeight="1" spans="1:24">
      <c r="A190" s="16"/>
      <c r="B190" s="17"/>
      <c r="C190" s="17"/>
      <c r="D190" s="17"/>
      <c r="E190" s="17"/>
      <c r="F190" s="18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20"/>
      <c r="V190" s="20"/>
      <c r="W190" s="20"/>
      <c r="X190" s="21"/>
    </row>
    <row r="191" ht="20" customHeight="1" spans="1:24">
      <c r="A191" s="16"/>
      <c r="B191" s="17"/>
      <c r="C191" s="17"/>
      <c r="D191" s="17"/>
      <c r="E191" s="17"/>
      <c r="F191" s="18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20"/>
      <c r="V191" s="20"/>
      <c r="W191" s="20"/>
      <c r="X191" s="21"/>
    </row>
    <row r="192" ht="20" customHeight="1" spans="1:24">
      <c r="A192" s="16"/>
      <c r="B192" s="17"/>
      <c r="C192" s="17"/>
      <c r="D192" s="17"/>
      <c r="E192" s="17"/>
      <c r="F192" s="18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20"/>
      <c r="V192" s="20"/>
      <c r="W192" s="20"/>
      <c r="X192" s="21"/>
    </row>
    <row r="193" ht="20" customHeight="1" spans="1:24">
      <c r="A193" s="16"/>
      <c r="B193" s="17"/>
      <c r="C193" s="17"/>
      <c r="D193" s="17"/>
      <c r="E193" s="17"/>
      <c r="F193" s="18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20"/>
      <c r="V193" s="20"/>
      <c r="W193" s="20"/>
      <c r="X193" s="21"/>
    </row>
    <row r="194" ht="20" customHeight="1" spans="1:24">
      <c r="A194" s="16"/>
      <c r="B194" s="17"/>
      <c r="C194" s="17"/>
      <c r="D194" s="17"/>
      <c r="E194" s="17"/>
      <c r="F194" s="18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20"/>
      <c r="V194" s="20"/>
      <c r="W194" s="20"/>
      <c r="X194" s="21"/>
    </row>
    <row r="195" ht="20" customHeight="1" spans="1:24">
      <c r="A195" s="16"/>
      <c r="B195" s="17"/>
      <c r="C195" s="17"/>
      <c r="D195" s="17"/>
      <c r="E195" s="17"/>
      <c r="F195" s="18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20"/>
      <c r="V195" s="20"/>
      <c r="W195" s="20"/>
      <c r="X195" s="21"/>
    </row>
    <row r="196" ht="20" customHeight="1" spans="1:24">
      <c r="A196" s="16"/>
      <c r="B196" s="17"/>
      <c r="C196" s="17"/>
      <c r="D196" s="17"/>
      <c r="E196" s="17"/>
      <c r="F196" s="18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20"/>
      <c r="V196" s="20"/>
      <c r="W196" s="20"/>
      <c r="X196" s="21"/>
    </row>
    <row r="197" ht="20" customHeight="1" spans="1:24">
      <c r="A197" s="16"/>
      <c r="B197" s="17"/>
      <c r="C197" s="17"/>
      <c r="D197" s="17"/>
      <c r="E197" s="17"/>
      <c r="F197" s="18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20"/>
      <c r="V197" s="20"/>
      <c r="W197" s="20"/>
      <c r="X197" s="21"/>
    </row>
    <row r="198" ht="20" customHeight="1" spans="1:24">
      <c r="A198" s="16"/>
      <c r="B198" s="17"/>
      <c r="C198" s="17"/>
      <c r="D198" s="17"/>
      <c r="E198" s="17"/>
      <c r="F198" s="18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20"/>
      <c r="V198" s="20"/>
      <c r="W198" s="20"/>
      <c r="X198" s="21"/>
    </row>
    <row r="199" ht="20" customHeight="1" spans="1:24">
      <c r="A199" s="16"/>
      <c r="B199" s="17"/>
      <c r="C199" s="17"/>
      <c r="D199" s="17"/>
      <c r="E199" s="17"/>
      <c r="F199" s="18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20"/>
      <c r="V199" s="20"/>
      <c r="W199" s="20"/>
      <c r="X199" s="21"/>
    </row>
    <row r="200" ht="20" customHeight="1" spans="1:24">
      <c r="A200" s="16"/>
      <c r="B200" s="17"/>
      <c r="C200" s="17"/>
      <c r="D200" s="17"/>
      <c r="E200" s="17"/>
      <c r="F200" s="18"/>
      <c r="G200" s="17"/>
      <c r="H200" s="17"/>
      <c r="I200" s="17"/>
      <c r="J200" s="17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20"/>
      <c r="V200" s="20"/>
      <c r="W200" s="20"/>
      <c r="X200" s="21"/>
    </row>
    <row r="201" ht="20" customHeight="1" spans="1:24">
      <c r="A201" s="16"/>
      <c r="B201" s="17"/>
      <c r="C201" s="17"/>
      <c r="D201" s="17"/>
      <c r="E201" s="17"/>
      <c r="F201" s="18"/>
      <c r="G201" s="17"/>
      <c r="H201" s="17"/>
      <c r="I201" s="17"/>
      <c r="J201" s="17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20"/>
      <c r="V201" s="20"/>
      <c r="W201" s="20"/>
      <c r="X201" s="21"/>
    </row>
    <row r="202" ht="20" customHeight="1" spans="1:24">
      <c r="A202" s="16"/>
      <c r="B202" s="17"/>
      <c r="C202" s="17"/>
      <c r="D202" s="17"/>
      <c r="E202" s="17"/>
      <c r="F202" s="18"/>
      <c r="G202" s="17"/>
      <c r="H202" s="17"/>
      <c r="I202" s="17"/>
      <c r="J202" s="17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20"/>
      <c r="V202" s="20"/>
      <c r="W202" s="20"/>
      <c r="X202" s="21"/>
    </row>
    <row r="203" ht="20" customHeight="1" spans="1:24">
      <c r="A203" s="22"/>
      <c r="B203" s="23"/>
      <c r="C203" s="23"/>
      <c r="D203" s="23"/>
      <c r="E203" s="23"/>
      <c r="F203" s="24"/>
      <c r="G203" s="23"/>
      <c r="H203" s="23"/>
      <c r="I203" s="23"/>
      <c r="J203" s="23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6"/>
      <c r="V203" s="26"/>
      <c r="W203" s="26"/>
      <c r="X203" s="27"/>
    </row>
  </sheetData>
  <mergeCells count="2">
    <mergeCell ref="A1:X1"/>
    <mergeCell ref="A2:X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9"/>
  <sheetViews>
    <sheetView topLeftCell="A6" workbookViewId="0">
      <selection activeCell="B23" sqref="B23"/>
    </sheetView>
  </sheetViews>
  <sheetFormatPr defaultColWidth="9" defaultRowHeight="13.8"/>
  <cols>
    <col min="1" max="1" width="11" customWidth="1"/>
    <col min="2" max="2" width="31.4" customWidth="1"/>
    <col min="3" max="3" width="30" customWidth="1"/>
    <col min="4" max="4" width="10" customWidth="1"/>
    <col min="5" max="7" width="11" customWidth="1"/>
    <col min="8" max="8" width="15" customWidth="1"/>
    <col min="9" max="9" width="16" customWidth="1"/>
    <col min="10" max="10" width="10" customWidth="1"/>
    <col min="11" max="11" width="11" customWidth="1"/>
    <col min="12" max="12" width="12" customWidth="1"/>
    <col min="13" max="13" width="11" customWidth="1"/>
    <col min="14" max="14" width="12" customWidth="1"/>
    <col min="15" max="15" width="15" customWidth="1"/>
    <col min="16" max="16" width="9" customWidth="1"/>
    <col min="17" max="18" width="12" customWidth="1"/>
    <col min="19" max="20" width="14" customWidth="1"/>
    <col min="21" max="21" width="20" customWidth="1"/>
  </cols>
  <sheetData>
    <row r="1" ht="24" customHeight="1" spans="1:21">
      <c r="A1" s="1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ht="34" customHeight="1" spans="1:21">
      <c r="A2" s="4" t="s">
        <v>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</row>
    <row r="3" ht="8" customHeight="1"/>
    <row r="4" ht="24" customHeight="1" spans="1:21">
      <c r="A4" s="7" t="s">
        <v>40</v>
      </c>
      <c r="B4" s="8" t="s">
        <v>41</v>
      </c>
      <c r="C4" s="8" t="s">
        <v>42</v>
      </c>
      <c r="D4" s="8" t="s">
        <v>25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26</v>
      </c>
      <c r="L4" s="8" t="s">
        <v>49</v>
      </c>
      <c r="M4" s="8" t="s">
        <v>27</v>
      </c>
      <c r="N4" s="8" t="s">
        <v>50</v>
      </c>
      <c r="O4" s="8" t="s">
        <v>28</v>
      </c>
      <c r="P4" s="8" t="s">
        <v>29</v>
      </c>
      <c r="Q4" s="28" t="s">
        <v>30</v>
      </c>
      <c r="R4" s="8" t="s">
        <v>31</v>
      </c>
      <c r="S4" s="8" t="s">
        <v>51</v>
      </c>
      <c r="T4" s="8" t="s">
        <v>52</v>
      </c>
      <c r="U4" s="9" t="s">
        <v>32</v>
      </c>
    </row>
    <row r="5" ht="20" customHeight="1" spans="1:21">
      <c r="A5" s="29" t="s">
        <v>93</v>
      </c>
      <c r="B5" s="17" t="s">
        <v>67</v>
      </c>
      <c r="C5" s="17" t="s">
        <v>68</v>
      </c>
      <c r="D5" s="17" t="s">
        <v>37</v>
      </c>
      <c r="E5" s="17" t="s">
        <v>94</v>
      </c>
      <c r="F5" s="18">
        <v>90</v>
      </c>
      <c r="G5" s="11" t="s">
        <v>57</v>
      </c>
      <c r="H5" s="30" t="s">
        <v>58</v>
      </c>
      <c r="I5" s="17" t="s">
        <v>59</v>
      </c>
      <c r="J5" s="11" t="s">
        <v>60</v>
      </c>
      <c r="K5" s="19">
        <v>8.09</v>
      </c>
      <c r="L5" s="19">
        <f>IFERROR((1-K5/VLOOKUP(D5,基线!$B$5:$H$6,2,FALSE))*100,"")</f>
        <v>40.8625730994152</v>
      </c>
      <c r="M5" s="19">
        <v>11.95</v>
      </c>
      <c r="N5" s="13">
        <f>(M5-15.48)/M5*100</f>
        <v>-29.5397489539749</v>
      </c>
      <c r="O5" s="19">
        <v>8.15</v>
      </c>
      <c r="P5" s="19">
        <v>122.65</v>
      </c>
      <c r="Q5" s="31">
        <v>27.13</v>
      </c>
      <c r="R5" s="19">
        <v>35.58</v>
      </c>
      <c r="S5" s="14">
        <f>Q5-62.66</f>
        <v>-35.53</v>
      </c>
      <c r="T5" s="14">
        <f>R5-75.01</f>
        <v>-39.43</v>
      </c>
      <c r="U5" s="15"/>
    </row>
    <row r="6" ht="20" customHeight="1" spans="1:21">
      <c r="A6" s="29" t="s">
        <v>93</v>
      </c>
      <c r="B6" s="17" t="s">
        <v>95</v>
      </c>
      <c r="C6" s="17" t="s">
        <v>96</v>
      </c>
      <c r="D6" s="17" t="s">
        <v>37</v>
      </c>
      <c r="E6" s="17" t="s">
        <v>94</v>
      </c>
      <c r="F6" s="18">
        <v>90</v>
      </c>
      <c r="G6" s="11" t="s">
        <v>57</v>
      </c>
      <c r="H6" s="30" t="s">
        <v>58</v>
      </c>
      <c r="I6" s="17" t="s">
        <v>97</v>
      </c>
      <c r="J6" s="17">
        <v>60</v>
      </c>
      <c r="K6" s="19">
        <v>8.09</v>
      </c>
      <c r="L6" s="19">
        <f>IFERROR((1-K6/VLOOKUP(D6,基线!$B$5:$H$6,2,FALSE))*100,"")</f>
        <v>40.8625730994152</v>
      </c>
      <c r="M6" s="19">
        <v>11.95</v>
      </c>
      <c r="N6" s="13">
        <f>(M6-15.48)/M6*100</f>
        <v>-29.5397489539749</v>
      </c>
      <c r="O6" s="19">
        <v>8.51</v>
      </c>
      <c r="P6" s="19">
        <v>117.48</v>
      </c>
      <c r="Q6" s="31">
        <v>58.78</v>
      </c>
      <c r="R6" s="19">
        <v>71.63</v>
      </c>
      <c r="S6" s="14">
        <f>Q6-62.66</f>
        <v>-3.88</v>
      </c>
      <c r="T6" s="14">
        <f>R6-75.01</f>
        <v>-3.38000000000001</v>
      </c>
      <c r="U6" s="21"/>
    </row>
    <row r="7" ht="20" customHeight="1" spans="1:21">
      <c r="L7" t="str">
        <f>IFERROR((1-K7/VLOOKUP(D7,基线!$B$5:$H$6,2,FALSE))*100,"")</f>
        <v/>
      </c>
      <c r="M7" t="s">
        <v>69</v>
      </c>
      <c r="N7" t="s">
        <v>69</v>
      </c>
      <c r="O7"/>
      <c r="P7"/>
      <c r="Q7"/>
      <c r="R7"/>
      <c r="S7" t="s">
        <v>69</v>
      </c>
      <c r="T7" t="s">
        <v>69</v>
      </c>
      <c r="U7" s="21"/>
    </row>
    <row r="8" ht="20" customHeight="1" spans="1:21">
      <c r="A8" s="29" t="s">
        <v>98</v>
      </c>
      <c r="B8" s="17" t="s">
        <v>99</v>
      </c>
      <c r="C8" s="32" t="s">
        <v>100</v>
      </c>
      <c r="D8" s="17" t="s">
        <v>37</v>
      </c>
      <c r="E8" s="17" t="s">
        <v>94</v>
      </c>
      <c r="F8" s="18">
        <v>90</v>
      </c>
      <c r="G8" s="32" t="s">
        <v>101</v>
      </c>
      <c r="H8" s="33" t="s">
        <v>58</v>
      </c>
      <c r="I8" s="17" t="s">
        <v>59</v>
      </c>
      <c r="J8" s="32" t="s">
        <v>60</v>
      </c>
      <c r="K8" s="34">
        <v>8.19</v>
      </c>
      <c r="L8" s="19">
        <f>IFERROR((1-K8/VLOOKUP(D8,基线!$B$5:$H$6,2,FALSE))*100,"")</f>
        <v>40.1315789473684</v>
      </c>
      <c r="M8" s="19">
        <v>11.88</v>
      </c>
      <c r="N8" s="13">
        <f>(M8-15.48)/M8*100</f>
        <v>-30.3030303030303</v>
      </c>
      <c r="O8" s="19">
        <v>8.23</v>
      </c>
      <c r="P8" s="19">
        <v>121.42</v>
      </c>
      <c r="Q8" s="31">
        <v>23.09</v>
      </c>
      <c r="R8" s="19">
        <v>31.29</v>
      </c>
      <c r="S8" s="14">
        <f>Q8-62.66</f>
        <v>-39.57</v>
      </c>
      <c r="T8" s="14">
        <f>R8-75.01</f>
        <v>-43.72</v>
      </c>
      <c r="U8" s="21"/>
    </row>
    <row r="9" ht="20" customHeight="1" spans="1:21">
      <c r="A9" s="29" t="s">
        <v>98</v>
      </c>
      <c r="B9" s="17" t="s">
        <v>102</v>
      </c>
      <c r="C9" s="32" t="s">
        <v>103</v>
      </c>
      <c r="D9" s="17" t="s">
        <v>37</v>
      </c>
      <c r="E9" s="17" t="s">
        <v>94</v>
      </c>
      <c r="F9" s="18">
        <v>90</v>
      </c>
      <c r="G9" s="32" t="s">
        <v>101</v>
      </c>
      <c r="H9" s="33" t="s">
        <v>58</v>
      </c>
      <c r="I9" s="17" t="s">
        <v>97</v>
      </c>
      <c r="J9" s="32">
        <v>60</v>
      </c>
      <c r="K9" s="34">
        <v>8.19</v>
      </c>
      <c r="L9" s="19">
        <f>IFERROR((1-K9/VLOOKUP(D9,基线!$B$5:$H$6,2,FALSE))*100,"")</f>
        <v>40.1315789473684</v>
      </c>
      <c r="M9" s="34">
        <v>11.88</v>
      </c>
      <c r="N9" s="13">
        <f t="shared" ref="N9:N14" si="0">(M9-15.48)/M9*100</f>
        <v>-30.3030303030303</v>
      </c>
      <c r="O9" s="19">
        <v>8.11</v>
      </c>
      <c r="P9" s="19">
        <v>123.21</v>
      </c>
      <c r="Q9" s="31">
        <v>58.83</v>
      </c>
      <c r="R9" s="19">
        <v>71.35</v>
      </c>
      <c r="S9" s="14">
        <f t="shared" ref="S9:S14" si="1">Q9-62.66</f>
        <v>-3.83</v>
      </c>
      <c r="T9" s="14">
        <f t="shared" ref="T9:T14" si="2">R9-75.01</f>
        <v>-3.66000000000001</v>
      </c>
      <c r="U9" s="21"/>
    </row>
    <row r="10" ht="20" customHeight="1" spans="1:21">
      <c r="G10" t="s">
        <v>69</v>
      </c>
      <c r="H10"/>
      <c r="I10"/>
      <c r="J10"/>
      <c r="K10"/>
      <c r="L10" t="str">
        <f>IFERROR((1-K10/VLOOKUP(D10,基线!$B$5:$H$6,2,FALSE))*100,"")</f>
        <v/>
      </c>
      <c r="N10" t="s">
        <v>69</v>
      </c>
      <c r="O10"/>
      <c r="P10"/>
      <c r="Q10"/>
      <c r="R10"/>
      <c r="S10" t="s">
        <v>69</v>
      </c>
      <c r="T10" t="s">
        <v>69</v>
      </c>
      <c r="U10" s="21"/>
    </row>
    <row r="11" ht="20" customHeight="1" spans="1:21">
      <c r="A11" s="29" t="s">
        <v>104</v>
      </c>
      <c r="B11" s="17" t="s">
        <v>105</v>
      </c>
      <c r="C11" s="32" t="s">
        <v>77</v>
      </c>
      <c r="D11" s="17" t="s">
        <v>37</v>
      </c>
      <c r="E11" s="17" t="s">
        <v>72</v>
      </c>
      <c r="F11" s="18">
        <v>50</v>
      </c>
      <c r="G11" s="32" t="s">
        <v>101</v>
      </c>
      <c r="H11" s="30" t="s">
        <v>74</v>
      </c>
      <c r="I11" s="17" t="s">
        <v>59</v>
      </c>
      <c r="J11" t="s">
        <v>60</v>
      </c>
      <c r="K11" s="19">
        <v>4.01</v>
      </c>
      <c r="L11" s="19">
        <f>IFERROR((1-K11/VLOOKUP(D11,基线!$B$5:$H$6,2,FALSE))*100,"")</f>
        <v>70.687134502924</v>
      </c>
      <c r="M11" s="19">
        <v>9.66</v>
      </c>
      <c r="N11" s="13">
        <f t="shared" si="0"/>
        <v>-60.2484472049689</v>
      </c>
      <c r="O11" s="19">
        <v>8.15</v>
      </c>
      <c r="P11" s="19">
        <v>122.6</v>
      </c>
      <c r="Q11" s="31">
        <v>5.09</v>
      </c>
      <c r="R11" s="19">
        <v>11.29</v>
      </c>
      <c r="S11" s="14">
        <f t="shared" si="1"/>
        <v>-57.57</v>
      </c>
      <c r="T11" s="14">
        <f t="shared" si="2"/>
        <v>-63.72</v>
      </c>
      <c r="U11" s="21"/>
    </row>
    <row r="12" ht="20" customHeight="1" spans="1:21">
      <c r="A12" s="29" t="s">
        <v>104</v>
      </c>
      <c r="B12" s="17" t="s">
        <v>106</v>
      </c>
      <c r="C12" s="32" t="s">
        <v>107</v>
      </c>
      <c r="D12" s="17" t="s">
        <v>37</v>
      </c>
      <c r="E12" s="17" t="s">
        <v>72</v>
      </c>
      <c r="F12" s="18">
        <v>50</v>
      </c>
      <c r="G12" s="32" t="s">
        <v>101</v>
      </c>
      <c r="H12" s="30" t="s">
        <v>74</v>
      </c>
      <c r="I12" s="17" t="s">
        <v>97</v>
      </c>
      <c r="J12" s="17">
        <v>100</v>
      </c>
      <c r="K12" s="19">
        <v>4.01</v>
      </c>
      <c r="L12" s="19">
        <f>IFERROR((1-K12/VLOOKUP(D12,基线!$B$5:$H$6,2,FALSE))*100,"")</f>
        <v>70.687134502924</v>
      </c>
      <c r="M12" s="19">
        <v>9.66</v>
      </c>
      <c r="N12" s="13">
        <f t="shared" si="0"/>
        <v>-60.2484472049689</v>
      </c>
      <c r="O12" s="19">
        <v>8.13</v>
      </c>
      <c r="P12" s="19">
        <v>122.93</v>
      </c>
      <c r="Q12" s="31">
        <v>56.48</v>
      </c>
      <c r="R12" s="19">
        <v>69.72</v>
      </c>
      <c r="S12" s="14">
        <f t="shared" si="1"/>
        <v>-6.18</v>
      </c>
      <c r="T12" s="14">
        <f t="shared" si="2"/>
        <v>-5.29000000000001</v>
      </c>
      <c r="U12" s="21"/>
    </row>
    <row r="13" ht="20" customHeight="1" spans="1:21">
      <c r="U13" s="21"/>
    </row>
    <row r="14" ht="20" customHeight="1" spans="1:21">
      <c r="A14" s="35" t="s">
        <v>108</v>
      </c>
      <c r="B14" s="36" t="s">
        <v>106</v>
      </c>
      <c r="C14" s="32" t="s">
        <v>107</v>
      </c>
      <c r="D14" s="17" t="s">
        <v>37</v>
      </c>
      <c r="E14" s="17" t="s">
        <v>72</v>
      </c>
      <c r="F14" s="18">
        <v>50</v>
      </c>
      <c r="G14" s="32" t="s">
        <v>101</v>
      </c>
      <c r="H14" s="30" t="s">
        <v>74</v>
      </c>
      <c r="I14" s="17" t="s">
        <v>97</v>
      </c>
      <c r="J14" s="17">
        <v>100</v>
      </c>
      <c r="K14" s="37">
        <v>4.01</v>
      </c>
      <c r="L14" s="19">
        <f>IFERROR((1-K14/VLOOKUP(D14,基线!$B$5:$H$6,2,FALSE))*100,"")</f>
        <v>70.687134502924</v>
      </c>
      <c r="M14" s="19">
        <v>9.66</v>
      </c>
      <c r="N14" s="13">
        <f t="shared" si="0"/>
        <v>-60.2484472049689</v>
      </c>
      <c r="O14" s="19">
        <v>8.13</v>
      </c>
      <c r="P14" s="19">
        <v>122.93</v>
      </c>
      <c r="Q14" s="31">
        <v>56.48</v>
      </c>
      <c r="R14" s="19">
        <v>69.72</v>
      </c>
      <c r="S14" s="14">
        <f t="shared" si="1"/>
        <v>-6.18</v>
      </c>
      <c r="T14" s="14">
        <f t="shared" si="2"/>
        <v>-5.29000000000001</v>
      </c>
      <c r="U14" s="21"/>
    </row>
    <row r="15" ht="20" customHeight="1" spans="1:21">
      <c r="A15" s="38" t="s">
        <v>109</v>
      </c>
      <c r="B15" s="36" t="s">
        <v>110</v>
      </c>
      <c r="C15" s="32" t="s">
        <v>111</v>
      </c>
      <c r="D15" s="17" t="s">
        <v>37</v>
      </c>
      <c r="E15" s="17" t="s">
        <v>72</v>
      </c>
      <c r="F15" s="18">
        <v>70</v>
      </c>
      <c r="G15" s="17" t="s">
        <v>88</v>
      </c>
      <c r="H15" s="30" t="s">
        <v>74</v>
      </c>
      <c r="I15" s="17" t="s">
        <v>97</v>
      </c>
      <c r="J15" s="17">
        <v>50</v>
      </c>
      <c r="K15" s="37">
        <v>1.91</v>
      </c>
      <c r="L15" s="19">
        <f>IFERROR((1-K15/VLOOKUP(D15,基线!$B$5:$H$6,2,FALSE))*100,"")</f>
        <v>86.0380116959064</v>
      </c>
      <c r="M15" s="19">
        <v>8.4</v>
      </c>
      <c r="N15" s="13">
        <f t="shared" ref="N15:N19" si="3">(M15-15.48)/M15*100</f>
        <v>-84.2857142857143</v>
      </c>
      <c r="O15" s="19">
        <v>8.35</v>
      </c>
      <c r="P15" s="19">
        <v>119.72</v>
      </c>
      <c r="Q15" s="31">
        <v>52.84</v>
      </c>
      <c r="R15" s="19">
        <v>66.1</v>
      </c>
      <c r="S15" s="14">
        <f t="shared" ref="S15:S19" si="4">Q15-62.66</f>
        <v>-9.81999999999999</v>
      </c>
      <c r="T15" s="14">
        <f t="shared" ref="T15:T19" si="5">R15-75.01</f>
        <v>-8.91000000000001</v>
      </c>
      <c r="U15" s="21"/>
    </row>
    <row r="17" ht="20" customHeight="1" spans="1:21">
      <c r="A17" s="39" t="s">
        <v>112</v>
      </c>
      <c r="B17" s="17" t="s">
        <v>113</v>
      </c>
      <c r="C17" s="17"/>
      <c r="D17" s="17"/>
      <c r="E17" s="17"/>
      <c r="F17" s="18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20"/>
      <c r="T17" s="20"/>
      <c r="U17" s="21"/>
    </row>
    <row r="18" ht="20" customHeight="1" spans="1:21">
      <c r="A18" s="29" t="s">
        <v>114</v>
      </c>
      <c r="B18" s="36" t="s">
        <v>106</v>
      </c>
      <c r="C18" s="32" t="s">
        <v>107</v>
      </c>
      <c r="D18" s="17" t="s">
        <v>37</v>
      </c>
      <c r="E18" s="17" t="s">
        <v>72</v>
      </c>
      <c r="F18" s="18">
        <v>50</v>
      </c>
      <c r="G18" s="32" t="s">
        <v>101</v>
      </c>
      <c r="H18" s="30" t="s">
        <v>74</v>
      </c>
      <c r="I18" s="17" t="s">
        <v>97</v>
      </c>
      <c r="J18" s="17">
        <v>100</v>
      </c>
      <c r="K18" s="37">
        <v>4.01</v>
      </c>
      <c r="L18" s="19">
        <f>IFERROR((1-K18/VLOOKUP(D18,基线!$B$5:$H$6,2,FALSE))*100,"")</f>
        <v>70.687134502924</v>
      </c>
      <c r="M18" s="19">
        <v>9.66</v>
      </c>
      <c r="N18" s="13">
        <f t="shared" si="3"/>
        <v>-60.2484472049689</v>
      </c>
      <c r="O18" s="19">
        <v>8.13</v>
      </c>
      <c r="P18" s="19">
        <v>122.93</v>
      </c>
      <c r="Q18" s="31">
        <v>56.48</v>
      </c>
      <c r="R18" s="19">
        <v>69.72</v>
      </c>
      <c r="S18" s="14">
        <f t="shared" si="4"/>
        <v>-6.18</v>
      </c>
      <c r="T18" s="14">
        <f t="shared" si="5"/>
        <v>-5.29000000000001</v>
      </c>
      <c r="U18" s="21"/>
    </row>
    <row r="19" customFormat="1" ht="20" customHeight="1" spans="1:21">
      <c r="A19" s="29" t="s">
        <v>114</v>
      </c>
      <c r="B19" s="36" t="s">
        <v>115</v>
      </c>
      <c r="C19" s="32" t="s">
        <v>116</v>
      </c>
      <c r="D19" s="17" t="s">
        <v>37</v>
      </c>
      <c r="E19" s="17" t="s">
        <v>72</v>
      </c>
      <c r="F19" s="18">
        <v>50</v>
      </c>
      <c r="G19" s="32" t="s">
        <v>101</v>
      </c>
      <c r="H19" s="30" t="s">
        <v>74</v>
      </c>
      <c r="I19" s="30" t="s">
        <v>117</v>
      </c>
      <c r="J19" s="17">
        <v>100</v>
      </c>
      <c r="K19" s="37"/>
      <c r="L19" s="19"/>
      <c r="M19" s="19"/>
      <c r="N19" s="13" t="s">
        <v>69</v>
      </c>
      <c r="O19" s="19"/>
      <c r="P19" s="19"/>
      <c r="Q19" s="31"/>
      <c r="R19" s="19"/>
      <c r="S19" s="14"/>
      <c r="T19" s="14"/>
      <c r="U19" s="21"/>
    </row>
    <row r="20" customFormat="1" ht="20" customHeight="1" spans="1:21">
      <c r="N20" t="s">
        <v>69</v>
      </c>
    </row>
    <row r="21" ht="20" customHeight="1" spans="1:21">
      <c r="A21" s="16" t="s">
        <v>118</v>
      </c>
      <c r="B21" s="17"/>
      <c r="C21" s="17"/>
      <c r="D21" s="17"/>
      <c r="E21" s="17"/>
      <c r="F21" s="18"/>
      <c r="G21" s="17"/>
      <c r="H21" s="17"/>
      <c r="I21" s="17"/>
      <c r="J21" s="17"/>
      <c r="K21" s="19"/>
      <c r="L21" s="19"/>
      <c r="M21" s="19"/>
      <c r="N21" s="13" t="s">
        <v>69</v>
      </c>
      <c r="O21" s="19"/>
      <c r="P21" s="19"/>
      <c r="Q21" s="19"/>
      <c r="R21" s="19"/>
      <c r="S21" s="14"/>
      <c r="T21" s="14"/>
      <c r="U21" s="21"/>
    </row>
    <row r="22" ht="20" customHeight="1" spans="1:21">
      <c r="A22" s="29" t="s">
        <v>114</v>
      </c>
      <c r="B22" s="17" t="s">
        <v>119</v>
      </c>
      <c r="C22" s="17" t="s">
        <v>120</v>
      </c>
      <c r="D22" s="17" t="s">
        <v>37</v>
      </c>
      <c r="E22" s="17" t="s">
        <v>72</v>
      </c>
      <c r="F22" s="18">
        <v>50</v>
      </c>
      <c r="G22" s="17" t="s">
        <v>101</v>
      </c>
      <c r="H22" s="30" t="s">
        <v>74</v>
      </c>
      <c r="I22" s="17" t="s">
        <v>121</v>
      </c>
      <c r="J22" s="17">
        <v>50</v>
      </c>
      <c r="K22" s="37">
        <v>4.01</v>
      </c>
      <c r="L22" s="19">
        <f>IFERROR((1-K22/VLOOKUP(D22,基线!$B$5:$H$6,2,FALSE))*100,"")</f>
        <v>70.687134502924</v>
      </c>
      <c r="M22" s="19">
        <v>9.66</v>
      </c>
      <c r="N22" s="13">
        <f>(M22-15.48)/M22*100</f>
        <v>-60.2484472049689</v>
      </c>
      <c r="O22" s="19">
        <v>8.13</v>
      </c>
      <c r="P22" s="19">
        <v>122.93</v>
      </c>
      <c r="Q22" s="31">
        <v>55.23</v>
      </c>
      <c r="R22" s="19">
        <v>67.26</v>
      </c>
      <c r="S22" s="14">
        <f>Q22-62.66</f>
        <v>-7.43</v>
      </c>
      <c r="T22" s="14">
        <f>R22-75.01</f>
        <v>-7.75</v>
      </c>
      <c r="U22" s="21"/>
    </row>
    <row r="23" ht="20" customHeight="1" spans="1:21">
      <c r="A23" s="16"/>
      <c r="B23" s="17"/>
      <c r="C23" s="17"/>
      <c r="D23" s="17"/>
      <c r="E23" s="17"/>
      <c r="F23" s="18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20"/>
      <c r="T23" s="20"/>
      <c r="U23" s="21"/>
    </row>
    <row r="24" ht="20" customHeight="1" spans="1:21">
      <c r="A24" s="16"/>
      <c r="B24" s="17"/>
      <c r="C24" s="17"/>
      <c r="D24" s="17"/>
      <c r="E24" s="17"/>
      <c r="F24" s="18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20"/>
      <c r="T24" s="20"/>
      <c r="U24" s="21"/>
    </row>
    <row r="25" ht="20" customHeight="1" spans="1:21">
      <c r="A25" s="16"/>
      <c r="B25" s="17"/>
      <c r="C25" s="17"/>
      <c r="D25" s="17"/>
      <c r="E25" s="17"/>
      <c r="F25" s="18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20"/>
      <c r="T25" s="20"/>
      <c r="U25" s="21"/>
    </row>
    <row r="26" ht="20" customHeight="1" spans="1:21">
      <c r="A26" s="16"/>
      <c r="B26" s="17"/>
      <c r="C26" s="17"/>
      <c r="D26" s="17"/>
      <c r="E26" s="17"/>
      <c r="F26" s="18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20"/>
      <c r="T26" s="20"/>
      <c r="U26" s="21"/>
    </row>
    <row r="27" ht="20" customHeight="1" spans="1:21">
      <c r="A27" s="16"/>
      <c r="B27" s="17"/>
      <c r="C27" s="17"/>
      <c r="D27" s="17"/>
      <c r="E27" s="17"/>
      <c r="F27" s="18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20"/>
      <c r="T27" s="20"/>
      <c r="U27" s="21"/>
    </row>
    <row r="28" ht="20" customHeight="1" spans="1:21">
      <c r="A28" s="16"/>
      <c r="B28" s="17"/>
      <c r="C28" s="17"/>
      <c r="D28" s="17"/>
      <c r="E28" s="17"/>
      <c r="F28" s="18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20"/>
      <c r="T28" s="20"/>
      <c r="U28" s="21"/>
    </row>
    <row r="29" ht="20" customHeight="1" spans="1:21">
      <c r="A29" s="16"/>
      <c r="B29" s="17"/>
      <c r="C29" s="17"/>
      <c r="D29" s="17"/>
      <c r="E29" s="17"/>
      <c r="F29" s="18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20"/>
      <c r="T29" s="20"/>
      <c r="U29" s="21"/>
    </row>
    <row r="30" ht="20" customHeight="1" spans="1:21">
      <c r="A30" s="16"/>
      <c r="B30" s="17"/>
      <c r="C30" s="17"/>
      <c r="D30" s="17"/>
      <c r="E30" s="17"/>
      <c r="F30" s="18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20"/>
      <c r="T30" s="20"/>
      <c r="U30" s="21"/>
    </row>
    <row r="31" ht="20" customHeight="1" spans="1:21">
      <c r="A31" s="16"/>
      <c r="B31" s="17"/>
      <c r="C31" s="17"/>
      <c r="D31" s="17"/>
      <c r="E31" s="17"/>
      <c r="F31" s="18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20"/>
      <c r="T31" s="20"/>
      <c r="U31" s="21"/>
    </row>
    <row r="32" ht="20" customHeight="1" spans="1:21">
      <c r="A32" s="16"/>
      <c r="B32" s="17"/>
      <c r="C32" s="17"/>
      <c r="D32" s="17"/>
      <c r="E32" s="17"/>
      <c r="F32" s="18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20"/>
      <c r="T32" s="20"/>
      <c r="U32" s="21"/>
    </row>
    <row r="33" ht="20" customHeight="1" spans="1:21">
      <c r="A33" s="16"/>
      <c r="B33" s="17"/>
      <c r="C33" s="17"/>
      <c r="D33" s="17"/>
      <c r="E33" s="17"/>
      <c r="F33" s="18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20"/>
      <c r="T33" s="20"/>
      <c r="U33" s="21"/>
    </row>
    <row r="34" ht="20" customHeight="1" spans="1:21">
      <c r="A34" s="16"/>
      <c r="B34" s="17"/>
      <c r="C34" s="17"/>
      <c r="D34" s="17"/>
      <c r="E34" s="17"/>
      <c r="F34" s="18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20"/>
      <c r="T34" s="20"/>
      <c r="U34" s="21"/>
    </row>
    <row r="35" ht="20" customHeight="1" spans="1:21">
      <c r="A35" s="16"/>
      <c r="B35" s="17"/>
      <c r="C35" s="17"/>
      <c r="D35" s="17"/>
      <c r="E35" s="17"/>
      <c r="F35" s="18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20"/>
      <c r="T35" s="20"/>
      <c r="U35" s="21"/>
    </row>
    <row r="36" ht="20" customHeight="1" spans="1:21">
      <c r="A36" s="16"/>
      <c r="B36" s="17"/>
      <c r="C36" s="17"/>
      <c r="D36" s="17"/>
      <c r="E36" s="17"/>
      <c r="F36" s="18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20"/>
      <c r="T36" s="20"/>
      <c r="U36" s="21"/>
    </row>
    <row r="37" ht="20" customHeight="1" spans="1:21">
      <c r="A37" s="16"/>
      <c r="B37" s="17"/>
      <c r="C37" s="17"/>
      <c r="D37" s="17"/>
      <c r="E37" s="17"/>
      <c r="F37" s="18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20"/>
      <c r="T37" s="20"/>
      <c r="U37" s="21"/>
    </row>
    <row r="38" ht="20" customHeight="1" spans="1:21">
      <c r="A38" s="16"/>
      <c r="B38" s="17"/>
      <c r="C38" s="17"/>
      <c r="D38" s="17"/>
      <c r="E38" s="17"/>
      <c r="F38" s="18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20"/>
      <c r="T38" s="20"/>
      <c r="U38" s="21"/>
    </row>
    <row r="39" ht="20" customHeight="1" spans="1:21">
      <c r="A39" s="16"/>
      <c r="B39" s="17"/>
      <c r="C39" s="17"/>
      <c r="D39" s="17"/>
      <c r="E39" s="17"/>
      <c r="F39" s="18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20"/>
      <c r="T39" s="20"/>
      <c r="U39" s="21"/>
    </row>
    <row r="40" ht="20" customHeight="1" spans="1:21">
      <c r="A40" s="16"/>
      <c r="B40" s="17"/>
      <c r="C40" s="17"/>
      <c r="D40" s="17"/>
      <c r="E40" s="17"/>
      <c r="F40" s="18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20"/>
      <c r="T40" s="20"/>
      <c r="U40" s="21"/>
    </row>
    <row r="41" ht="20" customHeight="1" spans="1:21">
      <c r="A41" s="16"/>
      <c r="B41" s="17"/>
      <c r="C41" s="17"/>
      <c r="D41" s="17"/>
      <c r="E41" s="17"/>
      <c r="F41" s="18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20"/>
      <c r="T41" s="20"/>
      <c r="U41" s="21"/>
    </row>
    <row r="42" ht="20" customHeight="1" spans="1:21">
      <c r="A42" s="16"/>
      <c r="B42" s="17"/>
      <c r="C42" s="17"/>
      <c r="D42" s="17"/>
      <c r="E42" s="17"/>
      <c r="F42" s="18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20"/>
      <c r="T42" s="20"/>
      <c r="U42" s="21"/>
    </row>
    <row r="43" ht="20" customHeight="1" spans="1:21">
      <c r="A43" s="16"/>
      <c r="B43" s="17"/>
      <c r="C43" s="17"/>
      <c r="D43" s="17"/>
      <c r="E43" s="17"/>
      <c r="F43" s="18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20"/>
      <c r="T43" s="20"/>
      <c r="U43" s="21"/>
    </row>
    <row r="44" ht="20" customHeight="1" spans="1:21">
      <c r="A44" s="16"/>
      <c r="B44" s="17"/>
      <c r="C44" s="17"/>
      <c r="D44" s="17"/>
      <c r="E44" s="17"/>
      <c r="F44" s="18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20"/>
      <c r="T44" s="20"/>
      <c r="U44" s="21"/>
    </row>
    <row r="45" ht="20" customHeight="1" spans="1:21">
      <c r="A45" s="16"/>
      <c r="B45" s="17"/>
      <c r="C45" s="17"/>
      <c r="D45" s="17"/>
      <c r="E45" s="17"/>
      <c r="F45" s="18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20"/>
      <c r="T45" s="20"/>
      <c r="U45" s="21"/>
    </row>
    <row r="46" ht="20" customHeight="1" spans="1:21">
      <c r="A46" s="16"/>
      <c r="B46" s="17"/>
      <c r="C46" s="17"/>
      <c r="D46" s="17"/>
      <c r="E46" s="17"/>
      <c r="F46" s="18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20"/>
      <c r="T46" s="20"/>
      <c r="U46" s="21"/>
    </row>
    <row r="47" ht="20" customHeight="1" spans="1:21">
      <c r="A47" s="16"/>
      <c r="B47" s="17"/>
      <c r="C47" s="17"/>
      <c r="D47" s="17"/>
      <c r="E47" s="17"/>
      <c r="F47" s="18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20"/>
      <c r="T47" s="20"/>
      <c r="U47" s="21"/>
    </row>
    <row r="48" ht="20" customHeight="1" spans="1:21">
      <c r="A48" s="16"/>
      <c r="B48" s="17"/>
      <c r="C48" s="17"/>
      <c r="D48" s="17"/>
      <c r="E48" s="17"/>
      <c r="F48" s="18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20"/>
      <c r="T48" s="20"/>
      <c r="U48" s="21"/>
    </row>
    <row r="49" ht="20" customHeight="1" spans="1:21">
      <c r="A49" s="16"/>
      <c r="B49" s="17"/>
      <c r="C49" s="17"/>
      <c r="D49" s="17"/>
      <c r="E49" s="17"/>
      <c r="F49" s="18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20"/>
      <c r="T49" s="20"/>
      <c r="U49" s="21"/>
    </row>
    <row r="50" ht="20" customHeight="1" spans="1:21">
      <c r="A50" s="16"/>
      <c r="B50" s="17"/>
      <c r="C50" s="17"/>
      <c r="D50" s="17"/>
      <c r="E50" s="17"/>
      <c r="F50" s="18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20"/>
      <c r="T50" s="20"/>
      <c r="U50" s="21"/>
    </row>
    <row r="51" ht="20" customHeight="1" spans="1:21">
      <c r="A51" s="16"/>
      <c r="B51" s="17"/>
      <c r="C51" s="17"/>
      <c r="D51" s="17"/>
      <c r="E51" s="17"/>
      <c r="F51" s="18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20"/>
      <c r="T51" s="20"/>
      <c r="U51" s="21"/>
    </row>
    <row r="52" ht="20" customHeight="1" spans="1:21">
      <c r="A52" s="16"/>
      <c r="B52" s="17"/>
      <c r="C52" s="17"/>
      <c r="D52" s="17"/>
      <c r="E52" s="17"/>
      <c r="F52" s="18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20"/>
      <c r="T52" s="20"/>
      <c r="U52" s="21"/>
    </row>
    <row r="53" ht="20" customHeight="1" spans="1:21">
      <c r="A53" s="16"/>
      <c r="B53" s="17"/>
      <c r="C53" s="17"/>
      <c r="D53" s="17"/>
      <c r="E53" s="17"/>
      <c r="F53" s="18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20"/>
      <c r="T53" s="20"/>
      <c r="U53" s="21"/>
    </row>
    <row r="54" ht="20" customHeight="1" spans="1:21">
      <c r="A54" s="16"/>
      <c r="B54" s="17"/>
      <c r="C54" s="17"/>
      <c r="D54" s="17"/>
      <c r="E54" s="17"/>
      <c r="F54" s="18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20"/>
      <c r="T54" s="20"/>
      <c r="U54" s="21"/>
    </row>
    <row r="55" ht="20" customHeight="1" spans="1:21">
      <c r="A55" s="16"/>
      <c r="B55" s="17"/>
      <c r="C55" s="17"/>
      <c r="D55" s="17"/>
      <c r="E55" s="17"/>
      <c r="F55" s="18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20"/>
      <c r="T55" s="20"/>
      <c r="U55" s="21"/>
    </row>
    <row r="56" ht="20" customHeight="1" spans="1:21">
      <c r="A56" s="16"/>
      <c r="B56" s="17"/>
      <c r="C56" s="17"/>
      <c r="D56" s="17"/>
      <c r="E56" s="17"/>
      <c r="F56" s="18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20"/>
      <c r="T56" s="20"/>
      <c r="U56" s="21"/>
    </row>
    <row r="57" ht="20" customHeight="1" spans="1:21">
      <c r="A57" s="16"/>
      <c r="B57" s="17"/>
      <c r="C57" s="17"/>
      <c r="D57" s="17"/>
      <c r="E57" s="17"/>
      <c r="F57" s="18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20"/>
      <c r="T57" s="20"/>
      <c r="U57" s="21"/>
    </row>
    <row r="58" ht="20" customHeight="1" spans="1:21">
      <c r="A58" s="16"/>
      <c r="B58" s="17"/>
      <c r="C58" s="17"/>
      <c r="D58" s="17"/>
      <c r="E58" s="17"/>
      <c r="F58" s="18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20"/>
      <c r="T58" s="20"/>
      <c r="U58" s="21"/>
    </row>
    <row r="59" ht="20" customHeight="1" spans="1:21">
      <c r="A59" s="16"/>
      <c r="B59" s="17"/>
      <c r="C59" s="17"/>
      <c r="D59" s="17"/>
      <c r="E59" s="17"/>
      <c r="F59" s="18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20"/>
      <c r="T59" s="20"/>
      <c r="U59" s="21"/>
    </row>
    <row r="60" ht="20" customHeight="1" spans="1:21">
      <c r="A60" s="16"/>
      <c r="B60" s="17"/>
      <c r="C60" s="17"/>
      <c r="D60" s="17"/>
      <c r="E60" s="17"/>
      <c r="F60" s="18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20"/>
      <c r="T60" s="20"/>
      <c r="U60" s="21"/>
    </row>
    <row r="61" ht="20" customHeight="1" spans="1:21">
      <c r="A61" s="16"/>
      <c r="B61" s="17"/>
      <c r="C61" s="17"/>
      <c r="D61" s="17"/>
      <c r="E61" s="17"/>
      <c r="F61" s="18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20"/>
      <c r="T61" s="20"/>
      <c r="U61" s="21"/>
    </row>
    <row r="62" ht="20" customHeight="1" spans="1:21">
      <c r="A62" s="16"/>
      <c r="B62" s="17"/>
      <c r="C62" s="17"/>
      <c r="D62" s="17"/>
      <c r="E62" s="17"/>
      <c r="F62" s="18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20"/>
      <c r="T62" s="20"/>
      <c r="U62" s="21"/>
    </row>
    <row r="63" ht="20" customHeight="1" spans="1:21">
      <c r="A63" s="16"/>
      <c r="B63" s="17"/>
      <c r="C63" s="17"/>
      <c r="D63" s="17"/>
      <c r="E63" s="17"/>
      <c r="F63" s="18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20"/>
      <c r="T63" s="20"/>
      <c r="U63" s="21"/>
    </row>
    <row r="64" ht="20" customHeight="1" spans="1:21">
      <c r="A64" s="16"/>
      <c r="B64" s="17"/>
      <c r="C64" s="17"/>
      <c r="D64" s="17"/>
      <c r="E64" s="17"/>
      <c r="F64" s="18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20"/>
      <c r="T64" s="20"/>
      <c r="U64" s="21"/>
    </row>
    <row r="65" ht="20" customHeight="1" spans="1:21">
      <c r="A65" s="16"/>
      <c r="B65" s="17"/>
      <c r="C65" s="17"/>
      <c r="D65" s="17"/>
      <c r="E65" s="17"/>
      <c r="F65" s="18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20"/>
      <c r="T65" s="20"/>
      <c r="U65" s="21"/>
    </row>
    <row r="66" ht="20" customHeight="1" spans="1:21">
      <c r="A66" s="16"/>
      <c r="B66" s="17"/>
      <c r="C66" s="17"/>
      <c r="D66" s="17"/>
      <c r="E66" s="17"/>
      <c r="F66" s="18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20"/>
      <c r="T66" s="20"/>
      <c r="U66" s="21"/>
    </row>
    <row r="67" ht="20" customHeight="1" spans="1:21">
      <c r="A67" s="16"/>
      <c r="B67" s="17"/>
      <c r="C67" s="17"/>
      <c r="D67" s="17"/>
      <c r="E67" s="17"/>
      <c r="F67" s="18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20"/>
      <c r="T67" s="20"/>
      <c r="U67" s="21"/>
    </row>
    <row r="68" ht="20" customHeight="1" spans="1:21">
      <c r="A68" s="16"/>
      <c r="B68" s="17"/>
      <c r="C68" s="17"/>
      <c r="D68" s="17"/>
      <c r="E68" s="17"/>
      <c r="F68" s="18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20"/>
      <c r="T68" s="20"/>
      <c r="U68" s="21"/>
    </row>
    <row r="69" ht="20" customHeight="1" spans="1:21">
      <c r="A69" s="16"/>
      <c r="B69" s="17"/>
      <c r="C69" s="17"/>
      <c r="D69" s="17"/>
      <c r="E69" s="17"/>
      <c r="F69" s="18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20"/>
      <c r="T69" s="20"/>
      <c r="U69" s="21"/>
    </row>
    <row r="70" ht="20" customHeight="1" spans="1:21">
      <c r="A70" s="16"/>
      <c r="B70" s="17"/>
      <c r="C70" s="17"/>
      <c r="D70" s="17"/>
      <c r="E70" s="17"/>
      <c r="F70" s="18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20"/>
      <c r="T70" s="20"/>
      <c r="U70" s="21"/>
    </row>
    <row r="71" ht="20" customHeight="1" spans="1:21">
      <c r="A71" s="16"/>
      <c r="B71" s="17"/>
      <c r="C71" s="17"/>
      <c r="D71" s="17"/>
      <c r="E71" s="17"/>
      <c r="F71" s="18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20"/>
      <c r="T71" s="20"/>
      <c r="U71" s="21"/>
    </row>
    <row r="72" ht="20" customHeight="1" spans="1:21">
      <c r="A72" s="16"/>
      <c r="B72" s="17"/>
      <c r="C72" s="17"/>
      <c r="D72" s="17"/>
      <c r="E72" s="17"/>
      <c r="F72" s="18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20"/>
      <c r="T72" s="20"/>
      <c r="U72" s="21"/>
    </row>
    <row r="73" ht="20" customHeight="1" spans="1:21">
      <c r="A73" s="16"/>
      <c r="B73" s="17"/>
      <c r="C73" s="17"/>
      <c r="D73" s="17"/>
      <c r="E73" s="17"/>
      <c r="F73" s="18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20"/>
      <c r="T73" s="20"/>
      <c r="U73" s="21"/>
    </row>
    <row r="74" ht="20" customHeight="1" spans="1:21">
      <c r="A74" s="16"/>
      <c r="B74" s="17"/>
      <c r="C74" s="17"/>
      <c r="D74" s="17"/>
      <c r="E74" s="17"/>
      <c r="F74" s="18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20"/>
      <c r="T74" s="20"/>
      <c r="U74" s="21"/>
    </row>
    <row r="75" ht="20" customHeight="1" spans="1:21">
      <c r="A75" s="16"/>
      <c r="B75" s="17"/>
      <c r="C75" s="17"/>
      <c r="D75" s="17"/>
      <c r="E75" s="17"/>
      <c r="F75" s="18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20"/>
      <c r="T75" s="20"/>
      <c r="U75" s="21"/>
    </row>
    <row r="76" ht="20" customHeight="1" spans="1:21">
      <c r="A76" s="16"/>
      <c r="B76" s="17"/>
      <c r="C76" s="17"/>
      <c r="D76" s="17"/>
      <c r="E76" s="17"/>
      <c r="F76" s="18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20"/>
      <c r="T76" s="20"/>
      <c r="U76" s="21"/>
    </row>
    <row r="77" ht="20" customHeight="1" spans="1:21">
      <c r="A77" s="16"/>
      <c r="B77" s="17"/>
      <c r="C77" s="17"/>
      <c r="D77" s="17"/>
      <c r="E77" s="17"/>
      <c r="F77" s="18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20"/>
      <c r="T77" s="20"/>
      <c r="U77" s="21"/>
    </row>
    <row r="78" ht="20" customHeight="1" spans="1:21">
      <c r="A78" s="16"/>
      <c r="B78" s="17"/>
      <c r="C78" s="17"/>
      <c r="D78" s="17"/>
      <c r="E78" s="17"/>
      <c r="F78" s="18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20"/>
      <c r="T78" s="20"/>
      <c r="U78" s="21"/>
    </row>
    <row r="79" ht="20" customHeight="1" spans="1:21">
      <c r="A79" s="16"/>
      <c r="B79" s="17"/>
      <c r="C79" s="17"/>
      <c r="D79" s="17"/>
      <c r="E79" s="17"/>
      <c r="F79" s="18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20"/>
      <c r="T79" s="20"/>
      <c r="U79" s="21"/>
    </row>
    <row r="80" ht="20" customHeight="1" spans="1:21">
      <c r="A80" s="16"/>
      <c r="B80" s="17"/>
      <c r="C80" s="17"/>
      <c r="D80" s="17"/>
      <c r="E80" s="17"/>
      <c r="F80" s="18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20"/>
      <c r="T80" s="20"/>
      <c r="U80" s="21"/>
    </row>
    <row r="81" ht="20" customHeight="1" spans="1:21">
      <c r="A81" s="16"/>
      <c r="B81" s="17"/>
      <c r="C81" s="17"/>
      <c r="D81" s="17"/>
      <c r="E81" s="17"/>
      <c r="F81" s="18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20"/>
      <c r="T81" s="20"/>
      <c r="U81" s="21"/>
    </row>
    <row r="82" ht="20" customHeight="1" spans="1:21">
      <c r="A82" s="16"/>
      <c r="B82" s="17"/>
      <c r="C82" s="17"/>
      <c r="D82" s="17"/>
      <c r="E82" s="17"/>
      <c r="F82" s="18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20"/>
      <c r="T82" s="20"/>
      <c r="U82" s="21"/>
    </row>
    <row r="83" ht="20" customHeight="1" spans="1:21">
      <c r="A83" s="16"/>
      <c r="B83" s="17"/>
      <c r="C83" s="17"/>
      <c r="D83" s="17"/>
      <c r="E83" s="17"/>
      <c r="F83" s="18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20"/>
      <c r="T83" s="20"/>
      <c r="U83" s="21"/>
    </row>
    <row r="84" ht="20" customHeight="1" spans="1:21">
      <c r="A84" s="16"/>
      <c r="B84" s="17"/>
      <c r="C84" s="17"/>
      <c r="D84" s="17"/>
      <c r="E84" s="17"/>
      <c r="F84" s="18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20"/>
      <c r="T84" s="20"/>
      <c r="U84" s="21"/>
    </row>
    <row r="85" ht="20" customHeight="1" spans="1:21">
      <c r="A85" s="16"/>
      <c r="B85" s="17"/>
      <c r="C85" s="17"/>
      <c r="D85" s="17"/>
      <c r="E85" s="17"/>
      <c r="F85" s="18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20"/>
      <c r="T85" s="20"/>
      <c r="U85" s="21"/>
    </row>
    <row r="86" ht="20" customHeight="1" spans="1:21">
      <c r="A86" s="16"/>
      <c r="B86" s="17"/>
      <c r="C86" s="17"/>
      <c r="D86" s="17"/>
      <c r="E86" s="17"/>
      <c r="F86" s="18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20"/>
      <c r="T86" s="20"/>
      <c r="U86" s="21"/>
    </row>
    <row r="87" ht="20" customHeight="1" spans="1:21">
      <c r="A87" s="16"/>
      <c r="B87" s="17"/>
      <c r="C87" s="17"/>
      <c r="D87" s="17"/>
      <c r="E87" s="17"/>
      <c r="F87" s="18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20"/>
      <c r="T87" s="20"/>
      <c r="U87" s="21"/>
    </row>
    <row r="88" ht="20" customHeight="1" spans="1:21">
      <c r="A88" s="16"/>
      <c r="B88" s="17"/>
      <c r="C88" s="17"/>
      <c r="D88" s="17"/>
      <c r="E88" s="17"/>
      <c r="F88" s="18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20"/>
      <c r="T88" s="20"/>
      <c r="U88" s="21"/>
    </row>
    <row r="89" ht="20" customHeight="1" spans="1:21">
      <c r="A89" s="16"/>
      <c r="B89" s="17"/>
      <c r="C89" s="17"/>
      <c r="D89" s="17"/>
      <c r="E89" s="17"/>
      <c r="F89" s="18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20"/>
      <c r="T89" s="20"/>
      <c r="U89" s="21"/>
    </row>
    <row r="90" ht="20" customHeight="1" spans="1:21">
      <c r="A90" s="16"/>
      <c r="B90" s="17"/>
      <c r="C90" s="17"/>
      <c r="D90" s="17"/>
      <c r="E90" s="17"/>
      <c r="F90" s="18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20"/>
      <c r="T90" s="20"/>
      <c r="U90" s="21"/>
    </row>
    <row r="91" ht="20" customHeight="1" spans="1:21">
      <c r="A91" s="16"/>
      <c r="B91" s="17"/>
      <c r="C91" s="17"/>
      <c r="D91" s="17"/>
      <c r="E91" s="17"/>
      <c r="F91" s="18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20"/>
      <c r="T91" s="20"/>
      <c r="U91" s="21"/>
    </row>
    <row r="92" ht="20" customHeight="1" spans="1:21">
      <c r="A92" s="16"/>
      <c r="B92" s="17"/>
      <c r="C92" s="17"/>
      <c r="D92" s="17"/>
      <c r="E92" s="17"/>
      <c r="F92" s="18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20"/>
      <c r="T92" s="20"/>
      <c r="U92" s="21"/>
    </row>
    <row r="93" ht="20" customHeight="1" spans="1:21">
      <c r="A93" s="16"/>
      <c r="B93" s="17"/>
      <c r="C93" s="17"/>
      <c r="D93" s="17"/>
      <c r="E93" s="17"/>
      <c r="F93" s="18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20"/>
      <c r="T93" s="20"/>
      <c r="U93" s="21"/>
    </row>
    <row r="94" ht="20" customHeight="1" spans="1:21">
      <c r="A94" s="16"/>
      <c r="B94" s="17"/>
      <c r="C94" s="17"/>
      <c r="D94" s="17"/>
      <c r="E94" s="17"/>
      <c r="F94" s="18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20"/>
      <c r="T94" s="20"/>
      <c r="U94" s="21"/>
    </row>
    <row r="95" ht="20" customHeight="1" spans="1:21">
      <c r="A95" s="16"/>
      <c r="B95" s="17"/>
      <c r="C95" s="17"/>
      <c r="D95" s="17"/>
      <c r="E95" s="17"/>
      <c r="F95" s="18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20"/>
      <c r="T95" s="20"/>
      <c r="U95" s="21"/>
    </row>
    <row r="96" ht="20" customHeight="1" spans="1:21">
      <c r="A96" s="16"/>
      <c r="B96" s="17"/>
      <c r="C96" s="17"/>
      <c r="D96" s="17"/>
      <c r="E96" s="17"/>
      <c r="F96" s="18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20"/>
      <c r="T96" s="20"/>
      <c r="U96" s="21"/>
    </row>
    <row r="97" ht="20" customHeight="1" spans="1:21">
      <c r="A97" s="16"/>
      <c r="B97" s="17"/>
      <c r="C97" s="17"/>
      <c r="D97" s="17"/>
      <c r="E97" s="17"/>
      <c r="F97" s="18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20"/>
      <c r="T97" s="20"/>
      <c r="U97" s="21"/>
    </row>
    <row r="98" ht="20" customHeight="1" spans="1:21">
      <c r="A98" s="16"/>
      <c r="B98" s="17"/>
      <c r="C98" s="17"/>
      <c r="D98" s="17"/>
      <c r="E98" s="17"/>
      <c r="F98" s="18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20"/>
      <c r="T98" s="20"/>
      <c r="U98" s="21"/>
    </row>
    <row r="99" ht="20" customHeight="1" spans="1:21">
      <c r="A99" s="16"/>
      <c r="B99" s="17"/>
      <c r="C99" s="17"/>
      <c r="D99" s="17"/>
      <c r="E99" s="17"/>
      <c r="F99" s="18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20"/>
      <c r="T99" s="20"/>
      <c r="U99" s="21"/>
    </row>
    <row r="100" ht="20" customHeight="1" spans="1:21">
      <c r="A100" s="16"/>
      <c r="B100" s="17"/>
      <c r="C100" s="17"/>
      <c r="D100" s="17"/>
      <c r="E100" s="17"/>
      <c r="F100" s="18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20"/>
      <c r="T100" s="20"/>
      <c r="U100" s="21"/>
    </row>
    <row r="101" ht="20" customHeight="1" spans="1:21">
      <c r="A101" s="16"/>
      <c r="B101" s="17"/>
      <c r="C101" s="17"/>
      <c r="D101" s="17"/>
      <c r="E101" s="17"/>
      <c r="F101" s="18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20"/>
      <c r="T101" s="20"/>
      <c r="U101" s="21"/>
    </row>
    <row r="102" ht="20" customHeight="1" spans="1:21">
      <c r="A102" s="16"/>
      <c r="B102" s="17"/>
      <c r="C102" s="17"/>
      <c r="D102" s="17"/>
      <c r="E102" s="17"/>
      <c r="F102" s="18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20"/>
      <c r="T102" s="20"/>
      <c r="U102" s="21"/>
    </row>
    <row r="103" ht="20" customHeight="1" spans="1:21">
      <c r="A103" s="16"/>
      <c r="B103" s="17"/>
      <c r="C103" s="17"/>
      <c r="D103" s="17"/>
      <c r="E103" s="17"/>
      <c r="F103" s="18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20"/>
      <c r="T103" s="20"/>
      <c r="U103" s="21"/>
    </row>
    <row r="104" ht="20" customHeight="1" spans="1:21">
      <c r="A104" s="16"/>
      <c r="B104" s="17"/>
      <c r="C104" s="17"/>
      <c r="D104" s="17"/>
      <c r="E104" s="17"/>
      <c r="F104" s="18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20"/>
      <c r="T104" s="20"/>
      <c r="U104" s="21"/>
    </row>
    <row r="105" ht="20" customHeight="1" spans="1:21">
      <c r="A105" s="16"/>
      <c r="B105" s="17"/>
      <c r="C105" s="17"/>
      <c r="D105" s="17"/>
      <c r="E105" s="17"/>
      <c r="F105" s="18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20"/>
      <c r="T105" s="20"/>
      <c r="U105" s="21"/>
    </row>
    <row r="106" ht="20" customHeight="1" spans="1:21">
      <c r="A106" s="16"/>
      <c r="B106" s="17"/>
      <c r="C106" s="17"/>
      <c r="D106" s="17"/>
      <c r="E106" s="17"/>
      <c r="F106" s="18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20"/>
      <c r="T106" s="20"/>
      <c r="U106" s="21"/>
    </row>
    <row r="107" ht="20" customHeight="1" spans="1:21">
      <c r="A107" s="16"/>
      <c r="B107" s="17"/>
      <c r="C107" s="17"/>
      <c r="D107" s="17"/>
      <c r="E107" s="17"/>
      <c r="F107" s="18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20"/>
      <c r="T107" s="20"/>
      <c r="U107" s="21"/>
    </row>
    <row r="108" ht="20" customHeight="1" spans="1:21">
      <c r="A108" s="16"/>
      <c r="B108" s="17"/>
      <c r="C108" s="17"/>
      <c r="D108" s="17"/>
      <c r="E108" s="17"/>
      <c r="F108" s="18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20"/>
      <c r="T108" s="20"/>
      <c r="U108" s="21"/>
    </row>
    <row r="109" ht="20" customHeight="1" spans="1:21">
      <c r="A109" s="16"/>
      <c r="B109" s="17"/>
      <c r="C109" s="17"/>
      <c r="D109" s="17"/>
      <c r="E109" s="17"/>
      <c r="F109" s="18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20"/>
      <c r="T109" s="20"/>
      <c r="U109" s="21"/>
    </row>
    <row r="110" ht="20" customHeight="1" spans="1:21">
      <c r="A110" s="16"/>
      <c r="B110" s="17"/>
      <c r="C110" s="17"/>
      <c r="D110" s="17"/>
      <c r="E110" s="17"/>
      <c r="F110" s="18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20"/>
      <c r="T110" s="20"/>
      <c r="U110" s="21"/>
    </row>
    <row r="111" ht="20" customHeight="1" spans="1:21">
      <c r="A111" s="16"/>
      <c r="B111" s="17"/>
      <c r="C111" s="17"/>
      <c r="D111" s="17"/>
      <c r="E111" s="17"/>
      <c r="F111" s="18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20"/>
      <c r="T111" s="20"/>
      <c r="U111" s="21"/>
    </row>
    <row r="112" ht="20" customHeight="1" spans="1:21">
      <c r="A112" s="16"/>
      <c r="B112" s="17"/>
      <c r="C112" s="17"/>
      <c r="D112" s="17"/>
      <c r="E112" s="17"/>
      <c r="F112" s="18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20"/>
      <c r="T112" s="20"/>
      <c r="U112" s="21"/>
    </row>
    <row r="113" ht="20" customHeight="1" spans="1:21">
      <c r="A113" s="16"/>
      <c r="B113" s="17"/>
      <c r="C113" s="17"/>
      <c r="D113" s="17"/>
      <c r="E113" s="17"/>
      <c r="F113" s="18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20"/>
      <c r="T113" s="20"/>
      <c r="U113" s="21"/>
    </row>
    <row r="114" ht="20" customHeight="1" spans="1:21">
      <c r="A114" s="16"/>
      <c r="B114" s="17"/>
      <c r="C114" s="17"/>
      <c r="D114" s="17"/>
      <c r="E114" s="17"/>
      <c r="F114" s="18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20"/>
      <c r="T114" s="20"/>
      <c r="U114" s="21"/>
    </row>
    <row r="115" ht="20" customHeight="1" spans="1:21">
      <c r="A115" s="16"/>
      <c r="B115" s="17"/>
      <c r="C115" s="17"/>
      <c r="D115" s="17"/>
      <c r="E115" s="17"/>
      <c r="F115" s="18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20"/>
      <c r="T115" s="20"/>
      <c r="U115" s="21"/>
    </row>
    <row r="116" ht="20" customHeight="1" spans="1:21">
      <c r="A116" s="16"/>
      <c r="B116" s="17"/>
      <c r="C116" s="17"/>
      <c r="D116" s="17"/>
      <c r="E116" s="17"/>
      <c r="F116" s="18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20"/>
      <c r="T116" s="20"/>
      <c r="U116" s="21"/>
    </row>
    <row r="117" ht="20" customHeight="1" spans="1:21">
      <c r="A117" s="16"/>
      <c r="B117" s="17"/>
      <c r="C117" s="17"/>
      <c r="D117" s="17"/>
      <c r="E117" s="17"/>
      <c r="F117" s="18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20"/>
      <c r="T117" s="20"/>
      <c r="U117" s="21"/>
    </row>
    <row r="118" ht="20" customHeight="1" spans="1:21">
      <c r="A118" s="16"/>
      <c r="B118" s="17"/>
      <c r="C118" s="17"/>
      <c r="D118" s="17"/>
      <c r="E118" s="17"/>
      <c r="F118" s="18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20"/>
      <c r="T118" s="20"/>
      <c r="U118" s="21"/>
    </row>
    <row r="119" ht="20" customHeight="1" spans="1:21">
      <c r="A119" s="16"/>
      <c r="B119" s="17"/>
      <c r="C119" s="17"/>
      <c r="D119" s="17"/>
      <c r="E119" s="17"/>
      <c r="F119" s="18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20"/>
      <c r="T119" s="20"/>
      <c r="U119" s="21"/>
    </row>
    <row r="120" ht="20" customHeight="1" spans="1:21">
      <c r="A120" s="16"/>
      <c r="B120" s="17"/>
      <c r="C120" s="17"/>
      <c r="D120" s="17"/>
      <c r="E120" s="17"/>
      <c r="F120" s="18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20"/>
      <c r="T120" s="20"/>
      <c r="U120" s="21"/>
    </row>
    <row r="121" ht="20" customHeight="1" spans="1:21">
      <c r="A121" s="16"/>
      <c r="B121" s="17"/>
      <c r="C121" s="17"/>
      <c r="D121" s="17"/>
      <c r="E121" s="17"/>
      <c r="F121" s="18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20"/>
      <c r="T121" s="20"/>
      <c r="U121" s="21"/>
    </row>
    <row r="122" ht="20" customHeight="1" spans="1:21">
      <c r="A122" s="16"/>
      <c r="B122" s="17"/>
      <c r="C122" s="17"/>
      <c r="D122" s="17"/>
      <c r="E122" s="17"/>
      <c r="F122" s="18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20"/>
      <c r="T122" s="20"/>
      <c r="U122" s="21"/>
    </row>
    <row r="123" ht="20" customHeight="1" spans="1:21">
      <c r="A123" s="16"/>
      <c r="B123" s="17"/>
      <c r="C123" s="17"/>
      <c r="D123" s="17"/>
      <c r="E123" s="17"/>
      <c r="F123" s="18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20"/>
      <c r="T123" s="20"/>
      <c r="U123" s="21"/>
    </row>
    <row r="124" ht="20" customHeight="1" spans="1:21">
      <c r="A124" s="16"/>
      <c r="B124" s="17"/>
      <c r="C124" s="17"/>
      <c r="D124" s="17"/>
      <c r="E124" s="17"/>
      <c r="F124" s="18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20"/>
      <c r="T124" s="20"/>
      <c r="U124" s="21"/>
    </row>
    <row r="125" ht="20" customHeight="1" spans="1:21">
      <c r="A125" s="16"/>
      <c r="B125" s="17"/>
      <c r="C125" s="17"/>
      <c r="D125" s="17"/>
      <c r="E125" s="17"/>
      <c r="F125" s="18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20"/>
      <c r="T125" s="20"/>
      <c r="U125" s="21"/>
    </row>
    <row r="126" ht="20" customHeight="1" spans="1:21">
      <c r="A126" s="16"/>
      <c r="B126" s="17"/>
      <c r="C126" s="17"/>
      <c r="D126" s="17"/>
      <c r="E126" s="17"/>
      <c r="F126" s="18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20"/>
      <c r="T126" s="20"/>
      <c r="U126" s="21"/>
    </row>
    <row r="127" ht="20" customHeight="1" spans="1:21">
      <c r="A127" s="16"/>
      <c r="B127" s="17"/>
      <c r="C127" s="17"/>
      <c r="D127" s="17"/>
      <c r="E127" s="17"/>
      <c r="F127" s="18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20"/>
      <c r="T127" s="20"/>
      <c r="U127" s="21"/>
    </row>
    <row r="128" ht="20" customHeight="1" spans="1:21">
      <c r="A128" s="16"/>
      <c r="B128" s="17"/>
      <c r="C128" s="17"/>
      <c r="D128" s="17"/>
      <c r="E128" s="17"/>
      <c r="F128" s="18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20"/>
      <c r="T128" s="20"/>
      <c r="U128" s="21"/>
    </row>
    <row r="129" ht="20" customHeight="1" spans="1:21">
      <c r="A129" s="16"/>
      <c r="B129" s="17"/>
      <c r="C129" s="17"/>
      <c r="D129" s="17"/>
      <c r="E129" s="17"/>
      <c r="F129" s="18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20"/>
      <c r="T129" s="20"/>
      <c r="U129" s="21"/>
    </row>
    <row r="130" ht="20" customHeight="1" spans="1:21">
      <c r="A130" s="16"/>
      <c r="B130" s="17"/>
      <c r="C130" s="17"/>
      <c r="D130" s="17"/>
      <c r="E130" s="17"/>
      <c r="F130" s="18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20"/>
      <c r="T130" s="20"/>
      <c r="U130" s="21"/>
    </row>
    <row r="131" ht="20" customHeight="1" spans="1:21">
      <c r="A131" s="16"/>
      <c r="B131" s="17"/>
      <c r="C131" s="17"/>
      <c r="D131" s="17"/>
      <c r="E131" s="17"/>
      <c r="F131" s="18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20"/>
      <c r="T131" s="20"/>
      <c r="U131" s="21"/>
    </row>
    <row r="132" ht="20" customHeight="1" spans="1:21">
      <c r="A132" s="16"/>
      <c r="B132" s="17"/>
      <c r="C132" s="17"/>
      <c r="D132" s="17"/>
      <c r="E132" s="17"/>
      <c r="F132" s="18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20"/>
      <c r="T132" s="20"/>
      <c r="U132" s="21"/>
    </row>
    <row r="133" ht="20" customHeight="1" spans="1:21">
      <c r="A133" s="16"/>
      <c r="B133" s="17"/>
      <c r="C133" s="17"/>
      <c r="D133" s="17"/>
      <c r="E133" s="17"/>
      <c r="F133" s="18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20"/>
      <c r="T133" s="20"/>
      <c r="U133" s="21"/>
    </row>
    <row r="134" ht="20" customHeight="1" spans="1:21">
      <c r="A134" s="16"/>
      <c r="B134" s="17"/>
      <c r="C134" s="17"/>
      <c r="D134" s="17"/>
      <c r="E134" s="17"/>
      <c r="F134" s="18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20"/>
      <c r="T134" s="20"/>
      <c r="U134" s="21"/>
    </row>
    <row r="135" ht="20" customHeight="1" spans="1:21">
      <c r="A135" s="16"/>
      <c r="B135" s="17"/>
      <c r="C135" s="17"/>
      <c r="D135" s="17"/>
      <c r="E135" s="17"/>
      <c r="F135" s="18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20"/>
      <c r="T135" s="20"/>
      <c r="U135" s="21"/>
    </row>
    <row r="136" ht="20" customHeight="1" spans="1:21">
      <c r="A136" s="16"/>
      <c r="B136" s="17"/>
      <c r="C136" s="17"/>
      <c r="D136" s="17"/>
      <c r="E136" s="17"/>
      <c r="F136" s="18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20"/>
      <c r="T136" s="20"/>
      <c r="U136" s="21"/>
    </row>
    <row r="137" ht="20" customHeight="1" spans="1:21">
      <c r="A137" s="16"/>
      <c r="B137" s="17"/>
      <c r="C137" s="17"/>
      <c r="D137" s="17"/>
      <c r="E137" s="17"/>
      <c r="F137" s="18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20"/>
      <c r="T137" s="20"/>
      <c r="U137" s="21"/>
    </row>
    <row r="138" ht="20" customHeight="1" spans="1:21">
      <c r="A138" s="16"/>
      <c r="B138" s="17"/>
      <c r="C138" s="17"/>
      <c r="D138" s="17"/>
      <c r="E138" s="17"/>
      <c r="F138" s="18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20"/>
      <c r="T138" s="20"/>
      <c r="U138" s="21"/>
    </row>
    <row r="139" ht="20" customHeight="1" spans="1:21">
      <c r="A139" s="16"/>
      <c r="B139" s="17"/>
      <c r="C139" s="17"/>
      <c r="D139" s="17"/>
      <c r="E139" s="17"/>
      <c r="F139" s="18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20"/>
      <c r="T139" s="20"/>
      <c r="U139" s="21"/>
    </row>
    <row r="140" ht="20" customHeight="1" spans="1:21">
      <c r="A140" s="16"/>
      <c r="B140" s="17"/>
      <c r="C140" s="17"/>
      <c r="D140" s="17"/>
      <c r="E140" s="17"/>
      <c r="F140" s="18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20"/>
      <c r="T140" s="20"/>
      <c r="U140" s="21"/>
    </row>
    <row r="141" ht="20" customHeight="1" spans="1:21">
      <c r="A141" s="16"/>
      <c r="B141" s="17"/>
      <c r="C141" s="17"/>
      <c r="D141" s="17"/>
      <c r="E141" s="17"/>
      <c r="F141" s="18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20"/>
      <c r="T141" s="20"/>
      <c r="U141" s="21"/>
    </row>
    <row r="142" ht="20" customHeight="1" spans="1:21">
      <c r="A142" s="16"/>
      <c r="B142" s="17"/>
      <c r="C142" s="17"/>
      <c r="D142" s="17"/>
      <c r="E142" s="17"/>
      <c r="F142" s="18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20"/>
      <c r="T142" s="20"/>
      <c r="U142" s="21"/>
    </row>
    <row r="143" ht="20" customHeight="1" spans="1:21">
      <c r="A143" s="16"/>
      <c r="B143" s="17"/>
      <c r="C143" s="17"/>
      <c r="D143" s="17"/>
      <c r="E143" s="17"/>
      <c r="F143" s="18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20"/>
      <c r="T143" s="20"/>
      <c r="U143" s="21"/>
    </row>
    <row r="144" ht="20" customHeight="1" spans="1:21">
      <c r="A144" s="16"/>
      <c r="B144" s="17"/>
      <c r="C144" s="17"/>
      <c r="D144" s="17"/>
      <c r="E144" s="17"/>
      <c r="F144" s="18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20"/>
      <c r="T144" s="20"/>
      <c r="U144" s="21"/>
    </row>
    <row r="145" ht="20" customHeight="1" spans="1:21">
      <c r="A145" s="16"/>
      <c r="B145" s="17"/>
      <c r="C145" s="17"/>
      <c r="D145" s="17"/>
      <c r="E145" s="17"/>
      <c r="F145" s="18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20"/>
      <c r="T145" s="20"/>
      <c r="U145" s="21"/>
    </row>
    <row r="146" ht="20" customHeight="1" spans="1:21">
      <c r="A146" s="16"/>
      <c r="B146" s="17"/>
      <c r="C146" s="17"/>
      <c r="D146" s="17"/>
      <c r="E146" s="17"/>
      <c r="F146" s="18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20"/>
      <c r="T146" s="20"/>
      <c r="U146" s="21"/>
    </row>
    <row r="147" ht="20" customHeight="1" spans="1:21">
      <c r="A147" s="16"/>
      <c r="B147" s="17"/>
      <c r="C147" s="17"/>
      <c r="D147" s="17"/>
      <c r="E147" s="17"/>
      <c r="F147" s="18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20"/>
      <c r="T147" s="20"/>
      <c r="U147" s="21"/>
    </row>
    <row r="148" ht="20" customHeight="1" spans="1:21">
      <c r="A148" s="16"/>
      <c r="B148" s="17"/>
      <c r="C148" s="17"/>
      <c r="D148" s="17"/>
      <c r="E148" s="17"/>
      <c r="F148" s="18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20"/>
      <c r="T148" s="20"/>
      <c r="U148" s="21"/>
    </row>
    <row r="149" ht="20" customHeight="1" spans="1:21">
      <c r="A149" s="16"/>
      <c r="B149" s="17"/>
      <c r="C149" s="17"/>
      <c r="D149" s="17"/>
      <c r="E149" s="17"/>
      <c r="F149" s="18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20"/>
      <c r="T149" s="20"/>
      <c r="U149" s="21"/>
    </row>
    <row r="150" ht="20" customHeight="1" spans="1:21">
      <c r="A150" s="16"/>
      <c r="B150" s="17"/>
      <c r="C150" s="17"/>
      <c r="D150" s="17"/>
      <c r="E150" s="17"/>
      <c r="F150" s="18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20"/>
      <c r="T150" s="20"/>
      <c r="U150" s="21"/>
    </row>
    <row r="151" ht="20" customHeight="1" spans="1:21">
      <c r="A151" s="16"/>
      <c r="B151" s="17"/>
      <c r="C151" s="17"/>
      <c r="D151" s="17"/>
      <c r="E151" s="17"/>
      <c r="F151" s="18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20"/>
      <c r="T151" s="20"/>
      <c r="U151" s="21"/>
    </row>
    <row r="152" ht="20" customHeight="1" spans="1:21">
      <c r="A152" s="16"/>
      <c r="B152" s="17"/>
      <c r="C152" s="17"/>
      <c r="D152" s="17"/>
      <c r="E152" s="17"/>
      <c r="F152" s="18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20"/>
      <c r="T152" s="20"/>
      <c r="U152" s="21"/>
    </row>
    <row r="153" ht="20" customHeight="1" spans="1:21">
      <c r="A153" s="16"/>
      <c r="B153" s="17"/>
      <c r="C153" s="17"/>
      <c r="D153" s="17"/>
      <c r="E153" s="17"/>
      <c r="F153" s="18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20"/>
      <c r="T153" s="20"/>
      <c r="U153" s="21"/>
    </row>
    <row r="154" ht="20" customHeight="1" spans="1:21">
      <c r="A154" s="16"/>
      <c r="B154" s="17"/>
      <c r="C154" s="17"/>
      <c r="D154" s="17"/>
      <c r="E154" s="17"/>
      <c r="F154" s="18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20"/>
      <c r="T154" s="20"/>
      <c r="U154" s="21"/>
    </row>
    <row r="155" ht="20" customHeight="1" spans="1:21">
      <c r="A155" s="16"/>
      <c r="B155" s="17"/>
      <c r="C155" s="17"/>
      <c r="D155" s="17"/>
      <c r="E155" s="17"/>
      <c r="F155" s="18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20"/>
      <c r="T155" s="20"/>
      <c r="U155" s="21"/>
    </row>
    <row r="156" ht="20" customHeight="1" spans="1:21">
      <c r="A156" s="16"/>
      <c r="B156" s="17"/>
      <c r="C156" s="17"/>
      <c r="D156" s="17"/>
      <c r="E156" s="17"/>
      <c r="F156" s="18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20"/>
      <c r="T156" s="20"/>
      <c r="U156" s="21"/>
    </row>
    <row r="157" ht="20" customHeight="1" spans="1:21">
      <c r="A157" s="16"/>
      <c r="B157" s="17"/>
      <c r="C157" s="17"/>
      <c r="D157" s="17"/>
      <c r="E157" s="17"/>
      <c r="F157" s="18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20"/>
      <c r="T157" s="20"/>
      <c r="U157" s="21"/>
    </row>
    <row r="158" ht="20" customHeight="1" spans="1:21">
      <c r="A158" s="16"/>
      <c r="B158" s="17"/>
      <c r="C158" s="17"/>
      <c r="D158" s="17"/>
      <c r="E158" s="17"/>
      <c r="F158" s="18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20"/>
      <c r="T158" s="20"/>
      <c r="U158" s="21"/>
    </row>
    <row r="159" ht="20" customHeight="1" spans="1:21">
      <c r="A159" s="16"/>
      <c r="B159" s="17"/>
      <c r="C159" s="17"/>
      <c r="D159" s="17"/>
      <c r="E159" s="17"/>
      <c r="F159" s="18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20"/>
      <c r="T159" s="20"/>
      <c r="U159" s="21"/>
    </row>
    <row r="160" ht="20" customHeight="1" spans="1:21">
      <c r="A160" s="16"/>
      <c r="B160" s="17"/>
      <c r="C160" s="17"/>
      <c r="D160" s="17"/>
      <c r="E160" s="17"/>
      <c r="F160" s="18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20"/>
      <c r="T160" s="20"/>
      <c r="U160" s="21"/>
    </row>
    <row r="161" ht="20" customHeight="1" spans="1:21">
      <c r="A161" s="16"/>
      <c r="B161" s="17"/>
      <c r="C161" s="17"/>
      <c r="D161" s="17"/>
      <c r="E161" s="17"/>
      <c r="F161" s="18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20"/>
      <c r="T161" s="20"/>
      <c r="U161" s="21"/>
    </row>
    <row r="162" ht="20" customHeight="1" spans="1:21">
      <c r="A162" s="16"/>
      <c r="B162" s="17"/>
      <c r="C162" s="17"/>
      <c r="D162" s="17"/>
      <c r="E162" s="17"/>
      <c r="F162" s="18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20"/>
      <c r="T162" s="20"/>
      <c r="U162" s="21"/>
    </row>
    <row r="163" ht="20" customHeight="1" spans="1:21">
      <c r="A163" s="16"/>
      <c r="B163" s="17"/>
      <c r="C163" s="17"/>
      <c r="D163" s="17"/>
      <c r="E163" s="17"/>
      <c r="F163" s="18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20"/>
      <c r="T163" s="20"/>
      <c r="U163" s="21"/>
    </row>
    <row r="164" ht="20" customHeight="1" spans="1:21">
      <c r="A164" s="16"/>
      <c r="B164" s="17"/>
      <c r="C164" s="17"/>
      <c r="D164" s="17"/>
      <c r="E164" s="17"/>
      <c r="F164" s="18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20"/>
      <c r="T164" s="20"/>
      <c r="U164" s="21"/>
    </row>
    <row r="165" ht="20" customHeight="1" spans="1:21">
      <c r="A165" s="16"/>
      <c r="B165" s="17"/>
      <c r="C165" s="17"/>
      <c r="D165" s="17"/>
      <c r="E165" s="17"/>
      <c r="F165" s="18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20"/>
      <c r="T165" s="20"/>
      <c r="U165" s="21"/>
    </row>
    <row r="166" ht="20" customHeight="1" spans="1:21">
      <c r="A166" s="16"/>
      <c r="B166" s="17"/>
      <c r="C166" s="17"/>
      <c r="D166" s="17"/>
      <c r="E166" s="17"/>
      <c r="F166" s="18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20"/>
      <c r="T166" s="20"/>
      <c r="U166" s="21"/>
    </row>
    <row r="167" ht="20" customHeight="1" spans="1:21">
      <c r="A167" s="16"/>
      <c r="B167" s="17"/>
      <c r="C167" s="17"/>
      <c r="D167" s="17"/>
      <c r="E167" s="17"/>
      <c r="F167" s="18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20"/>
      <c r="T167" s="20"/>
      <c r="U167" s="21"/>
    </row>
    <row r="168" ht="20" customHeight="1" spans="1:21">
      <c r="A168" s="16"/>
      <c r="B168" s="17"/>
      <c r="C168" s="17"/>
      <c r="D168" s="17"/>
      <c r="E168" s="17"/>
      <c r="F168" s="18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20"/>
      <c r="T168" s="20"/>
      <c r="U168" s="21"/>
    </row>
    <row r="169" ht="20" customHeight="1" spans="1:21">
      <c r="A169" s="16"/>
      <c r="B169" s="17"/>
      <c r="C169" s="17"/>
      <c r="D169" s="17"/>
      <c r="E169" s="17"/>
      <c r="F169" s="18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20"/>
      <c r="T169" s="20"/>
      <c r="U169" s="21"/>
    </row>
    <row r="170" ht="20" customHeight="1" spans="1:21">
      <c r="A170" s="16"/>
      <c r="B170" s="17"/>
      <c r="C170" s="17"/>
      <c r="D170" s="17"/>
      <c r="E170" s="17"/>
      <c r="F170" s="18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20"/>
      <c r="T170" s="20"/>
      <c r="U170" s="21"/>
    </row>
    <row r="171" ht="20" customHeight="1" spans="1:21">
      <c r="A171" s="16"/>
      <c r="B171" s="17"/>
      <c r="C171" s="17"/>
      <c r="D171" s="17"/>
      <c r="E171" s="17"/>
      <c r="F171" s="18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20"/>
      <c r="T171" s="20"/>
      <c r="U171" s="21"/>
    </row>
    <row r="172" ht="20" customHeight="1" spans="1:21">
      <c r="A172" s="16"/>
      <c r="B172" s="17"/>
      <c r="C172" s="17"/>
      <c r="D172" s="17"/>
      <c r="E172" s="17"/>
      <c r="F172" s="18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20"/>
      <c r="T172" s="20"/>
      <c r="U172" s="21"/>
    </row>
    <row r="173" ht="20" customHeight="1" spans="1:21">
      <c r="A173" s="16"/>
      <c r="B173" s="17"/>
      <c r="C173" s="17"/>
      <c r="D173" s="17"/>
      <c r="E173" s="17"/>
      <c r="F173" s="18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20"/>
      <c r="T173" s="20"/>
      <c r="U173" s="21"/>
    </row>
    <row r="174" ht="20" customHeight="1" spans="1:21">
      <c r="A174" s="16"/>
      <c r="B174" s="17"/>
      <c r="C174" s="17"/>
      <c r="D174" s="17"/>
      <c r="E174" s="17"/>
      <c r="F174" s="18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20"/>
      <c r="T174" s="20"/>
      <c r="U174" s="21"/>
    </row>
    <row r="175" ht="20" customHeight="1" spans="1:21">
      <c r="A175" s="16"/>
      <c r="B175" s="17"/>
      <c r="C175" s="17"/>
      <c r="D175" s="17"/>
      <c r="E175" s="17"/>
      <c r="F175" s="18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20"/>
      <c r="T175" s="20"/>
      <c r="U175" s="21"/>
    </row>
    <row r="176" ht="20" customHeight="1" spans="1:21">
      <c r="A176" s="16"/>
      <c r="B176" s="17"/>
      <c r="C176" s="17"/>
      <c r="D176" s="17"/>
      <c r="E176" s="17"/>
      <c r="F176" s="18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20"/>
      <c r="T176" s="20"/>
      <c r="U176" s="21"/>
    </row>
    <row r="177" ht="20" customHeight="1" spans="1:21">
      <c r="A177" s="16"/>
      <c r="B177" s="17"/>
      <c r="C177" s="17"/>
      <c r="D177" s="17"/>
      <c r="E177" s="17"/>
      <c r="F177" s="18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20"/>
      <c r="T177" s="20"/>
      <c r="U177" s="21"/>
    </row>
    <row r="178" ht="20" customHeight="1" spans="1:21">
      <c r="A178" s="16"/>
      <c r="B178" s="17"/>
      <c r="C178" s="17"/>
      <c r="D178" s="17"/>
      <c r="E178" s="17"/>
      <c r="F178" s="18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20"/>
      <c r="T178" s="20"/>
      <c r="U178" s="21"/>
    </row>
    <row r="179" ht="20" customHeight="1" spans="1:21">
      <c r="A179" s="16"/>
      <c r="B179" s="17"/>
      <c r="C179" s="17"/>
      <c r="D179" s="17"/>
      <c r="E179" s="17"/>
      <c r="F179" s="18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20"/>
      <c r="T179" s="20"/>
      <c r="U179" s="21"/>
    </row>
    <row r="180" ht="20" customHeight="1" spans="1:21">
      <c r="A180" s="16"/>
      <c r="B180" s="17"/>
      <c r="C180" s="17"/>
      <c r="D180" s="17"/>
      <c r="E180" s="17"/>
      <c r="F180" s="18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20"/>
      <c r="T180" s="20"/>
      <c r="U180" s="21"/>
    </row>
    <row r="181" ht="20" customHeight="1" spans="1:21">
      <c r="A181" s="16"/>
      <c r="B181" s="17"/>
      <c r="C181" s="17"/>
      <c r="D181" s="17"/>
      <c r="E181" s="17"/>
      <c r="F181" s="18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20"/>
      <c r="T181" s="20"/>
      <c r="U181" s="21"/>
    </row>
    <row r="182" ht="20" customHeight="1" spans="1:21">
      <c r="A182" s="16"/>
      <c r="B182" s="17"/>
      <c r="C182" s="17"/>
      <c r="D182" s="17"/>
      <c r="E182" s="17"/>
      <c r="F182" s="18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20"/>
      <c r="T182" s="20"/>
      <c r="U182" s="21"/>
    </row>
    <row r="183" ht="20" customHeight="1" spans="1:21">
      <c r="A183" s="16"/>
      <c r="B183" s="17"/>
      <c r="C183" s="17"/>
      <c r="D183" s="17"/>
      <c r="E183" s="17"/>
      <c r="F183" s="18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20"/>
      <c r="T183" s="20"/>
      <c r="U183" s="21"/>
    </row>
    <row r="184" ht="20" customHeight="1" spans="1:21">
      <c r="A184" s="16"/>
      <c r="B184" s="17"/>
      <c r="C184" s="17"/>
      <c r="D184" s="17"/>
      <c r="E184" s="17"/>
      <c r="F184" s="18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20"/>
      <c r="T184" s="20"/>
      <c r="U184" s="21"/>
    </row>
    <row r="185" ht="20" customHeight="1" spans="1:21">
      <c r="A185" s="16"/>
      <c r="B185" s="17"/>
      <c r="C185" s="17"/>
      <c r="D185" s="17"/>
      <c r="E185" s="17"/>
      <c r="F185" s="18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20"/>
      <c r="T185" s="20"/>
      <c r="U185" s="21"/>
    </row>
    <row r="186" ht="20" customHeight="1" spans="1:21">
      <c r="A186" s="16"/>
      <c r="B186" s="17"/>
      <c r="C186" s="17"/>
      <c r="D186" s="17"/>
      <c r="E186" s="17"/>
      <c r="F186" s="18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20"/>
      <c r="T186" s="20"/>
      <c r="U186" s="21"/>
    </row>
    <row r="187" ht="20" customHeight="1" spans="1:21">
      <c r="A187" s="16"/>
      <c r="B187" s="17"/>
      <c r="C187" s="17"/>
      <c r="D187" s="17"/>
      <c r="E187" s="17"/>
      <c r="F187" s="18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20"/>
      <c r="T187" s="20"/>
      <c r="U187" s="21"/>
    </row>
    <row r="188" ht="20" customHeight="1" spans="1:21">
      <c r="A188" s="16"/>
      <c r="B188" s="17"/>
      <c r="C188" s="17"/>
      <c r="D188" s="17"/>
      <c r="E188" s="17"/>
      <c r="F188" s="18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20"/>
      <c r="T188" s="20"/>
      <c r="U188" s="21"/>
    </row>
    <row r="189" ht="20" customHeight="1" spans="1:21">
      <c r="A189" s="16"/>
      <c r="B189" s="17"/>
      <c r="C189" s="17"/>
      <c r="D189" s="17"/>
      <c r="E189" s="17"/>
      <c r="F189" s="18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20"/>
      <c r="T189" s="20"/>
      <c r="U189" s="21"/>
    </row>
    <row r="190" ht="20" customHeight="1" spans="1:21">
      <c r="A190" s="16"/>
      <c r="B190" s="17"/>
      <c r="C190" s="17"/>
      <c r="D190" s="17"/>
      <c r="E190" s="17"/>
      <c r="F190" s="18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20"/>
      <c r="T190" s="20"/>
      <c r="U190" s="21"/>
    </row>
    <row r="191" ht="20" customHeight="1" spans="1:21">
      <c r="A191" s="16"/>
      <c r="B191" s="17"/>
      <c r="C191" s="17"/>
      <c r="D191" s="17"/>
      <c r="E191" s="17"/>
      <c r="F191" s="18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20"/>
      <c r="T191" s="20"/>
      <c r="U191" s="21"/>
    </row>
    <row r="192" ht="20" customHeight="1" spans="1:21">
      <c r="A192" s="16"/>
      <c r="B192" s="17"/>
      <c r="C192" s="17"/>
      <c r="D192" s="17"/>
      <c r="E192" s="17"/>
      <c r="F192" s="18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20"/>
      <c r="T192" s="20"/>
      <c r="U192" s="21"/>
    </row>
    <row r="193" ht="20" customHeight="1" spans="1:21">
      <c r="A193" s="16"/>
      <c r="B193" s="17"/>
      <c r="C193" s="17"/>
      <c r="D193" s="17"/>
      <c r="E193" s="17"/>
      <c r="F193" s="18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20"/>
      <c r="T193" s="20"/>
      <c r="U193" s="21"/>
    </row>
    <row r="194" ht="20" customHeight="1" spans="1:21">
      <c r="A194" s="16"/>
      <c r="B194" s="17"/>
      <c r="C194" s="17"/>
      <c r="D194" s="17"/>
      <c r="E194" s="17"/>
      <c r="F194" s="18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20"/>
      <c r="T194" s="20"/>
      <c r="U194" s="21"/>
    </row>
    <row r="195" ht="20" customHeight="1" spans="1:21">
      <c r="A195" s="16"/>
      <c r="B195" s="17"/>
      <c r="C195" s="17"/>
      <c r="D195" s="17"/>
      <c r="E195" s="17"/>
      <c r="F195" s="18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20"/>
      <c r="T195" s="20"/>
      <c r="U195" s="21"/>
    </row>
    <row r="196" ht="20" customHeight="1" spans="1:21">
      <c r="A196" s="16"/>
      <c r="B196" s="17"/>
      <c r="C196" s="17"/>
      <c r="D196" s="17"/>
      <c r="E196" s="17"/>
      <c r="F196" s="18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20"/>
      <c r="T196" s="20"/>
      <c r="U196" s="21"/>
    </row>
    <row r="197" ht="20" customHeight="1" spans="1:21">
      <c r="A197" s="16"/>
      <c r="B197" s="17"/>
      <c r="C197" s="17"/>
      <c r="D197" s="17"/>
      <c r="E197" s="17"/>
      <c r="F197" s="18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20"/>
      <c r="T197" s="20"/>
      <c r="U197" s="21"/>
    </row>
    <row r="198" ht="20" customHeight="1" spans="1:21">
      <c r="A198" s="16"/>
      <c r="B198" s="17"/>
      <c r="C198" s="17"/>
      <c r="D198" s="17"/>
      <c r="E198" s="17"/>
      <c r="F198" s="18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20"/>
      <c r="T198" s="20"/>
      <c r="U198" s="21"/>
    </row>
    <row r="199" ht="20" customHeight="1" spans="1:21">
      <c r="A199" s="22"/>
      <c r="B199" s="23"/>
      <c r="C199" s="23"/>
      <c r="D199" s="23"/>
      <c r="E199" s="23"/>
      <c r="F199" s="24"/>
      <c r="G199" s="23"/>
      <c r="H199" s="23"/>
      <c r="I199" s="23"/>
      <c r="J199" s="23"/>
      <c r="K199" s="25"/>
      <c r="L199" s="25"/>
      <c r="M199" s="25"/>
      <c r="N199" s="25"/>
      <c r="O199" s="25"/>
      <c r="P199" s="25"/>
      <c r="Q199" s="25"/>
      <c r="R199" s="25"/>
      <c r="S199" s="26"/>
      <c r="T199" s="26"/>
      <c r="U199" s="27"/>
    </row>
  </sheetData>
  <mergeCells count="2">
    <mergeCell ref="A1:U1"/>
    <mergeCell ref="A2:U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00"/>
  <sheetViews>
    <sheetView topLeftCell="L1" workbookViewId="0">
      <selection activeCell="A1" sqref="A1:X1"/>
    </sheetView>
  </sheetViews>
  <sheetFormatPr defaultColWidth="9" defaultRowHeight="13.8"/>
  <cols>
    <col min="1" max="1" width="11" customWidth="1"/>
    <col min="2" max="2" width="18" customWidth="1"/>
    <col min="3" max="3" width="30" customWidth="1"/>
    <col min="4" max="4" width="10" customWidth="1"/>
    <col min="5" max="7" width="11" customWidth="1"/>
    <col min="8" max="8" width="15" customWidth="1"/>
    <col min="9" max="9" width="16" customWidth="1"/>
    <col min="10" max="10" width="10" customWidth="1"/>
    <col min="11" max="11" width="11" customWidth="1"/>
    <col min="12" max="12" width="12" customWidth="1"/>
    <col min="13" max="13" width="11" customWidth="1"/>
    <col min="14" max="14" width="12" customWidth="1"/>
    <col min="15" max="15" width="15" customWidth="1"/>
    <col min="16" max="16" width="9" customWidth="1"/>
    <col min="17" max="20" width="12" customWidth="1"/>
    <col min="21" max="23" width="14" customWidth="1"/>
    <col min="24" max="24" width="20" customWidth="1"/>
  </cols>
  <sheetData>
    <row r="1" ht="24" customHeight="1" spans="1:24">
      <c r="A1" s="1" t="s">
        <v>122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2" ht="34" customHeight="1" spans="1:24">
      <c r="A2" s="4" t="s">
        <v>123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</row>
    <row r="3" ht="8" customHeight="1"/>
    <row r="4" ht="24" customHeight="1" spans="1:24">
      <c r="A4" s="7" t="s">
        <v>40</v>
      </c>
      <c r="B4" s="8" t="s">
        <v>41</v>
      </c>
      <c r="C4" s="8" t="s">
        <v>42</v>
      </c>
      <c r="D4" s="8" t="s">
        <v>25</v>
      </c>
      <c r="E4" s="8" t="s">
        <v>43</v>
      </c>
      <c r="F4" s="8" t="s">
        <v>44</v>
      </c>
      <c r="G4" s="8" t="s">
        <v>45</v>
      </c>
      <c r="H4" s="8" t="s">
        <v>46</v>
      </c>
      <c r="I4" s="8" t="s">
        <v>47</v>
      </c>
      <c r="J4" s="8" t="s">
        <v>48</v>
      </c>
      <c r="K4" s="8" t="s">
        <v>26</v>
      </c>
      <c r="L4" s="8" t="s">
        <v>49</v>
      </c>
      <c r="M4" s="8" t="s">
        <v>27</v>
      </c>
      <c r="N4" s="8" t="s">
        <v>50</v>
      </c>
      <c r="O4" s="8" t="s">
        <v>28</v>
      </c>
      <c r="P4" s="8" t="s">
        <v>29</v>
      </c>
      <c r="Q4" s="8" t="s">
        <v>30</v>
      </c>
      <c r="R4" s="8" t="s">
        <v>124</v>
      </c>
      <c r="S4" s="8" t="s">
        <v>31</v>
      </c>
      <c r="T4" s="8" t="s">
        <v>125</v>
      </c>
      <c r="U4" s="8" t="s">
        <v>51</v>
      </c>
      <c r="V4" s="8" t="s">
        <v>52</v>
      </c>
      <c r="W4" s="8" t="s">
        <v>83</v>
      </c>
      <c r="X4" s="9" t="s">
        <v>32</v>
      </c>
    </row>
    <row r="5" ht="20" customHeight="1" spans="1:24">
      <c r="A5" s="10" t="s">
        <v>53</v>
      </c>
      <c r="B5" s="11" t="s">
        <v>54</v>
      </c>
      <c r="C5" s="11" t="s">
        <v>55</v>
      </c>
      <c r="D5" s="11" t="s">
        <v>37</v>
      </c>
      <c r="E5" s="11" t="s">
        <v>56</v>
      </c>
      <c r="F5" s="12">
        <v>10</v>
      </c>
      <c r="G5" s="11" t="s">
        <v>126</v>
      </c>
      <c r="H5" s="11" t="s">
        <v>74</v>
      </c>
      <c r="I5" s="11" t="s">
        <v>59</v>
      </c>
      <c r="J5" s="11"/>
      <c r="K5" s="13"/>
      <c r="L5" s="13">
        <f>IFERROR((1-K5/VLOOKUP(D5,基线!$B$5:$H$6,2,FALSE))*100,"")</f>
        <v>100</v>
      </c>
      <c r="M5" s="13"/>
      <c r="N5" s="13">
        <f>IFERROR((1-M5/VLOOKUP(D5,基线!$B$5:$H$6,4,FALSE))*100,"")</f>
        <v>100</v>
      </c>
      <c r="O5" s="13"/>
      <c r="P5" s="13"/>
      <c r="Q5" s="13"/>
      <c r="R5" s="13"/>
      <c r="S5" s="13"/>
      <c r="T5" s="13"/>
      <c r="U5" s="14" t="str">
        <f>IFERROR(Q5-VLOOKUP(D5,基线!$B$5:$H$6,8,FALSE),"")</f>
        <v/>
      </c>
      <c r="V5" s="14" t="str">
        <f>IFERROR(S5-VLOOKUP(D5,基线!$B$5:$H$6,10,FALSE),"")</f>
        <v/>
      </c>
      <c r="W5" s="14" t="str">
        <f>IFERROR(T5-VLOOKUP(D5,基线!$B$5:$H$6,11,FALSE),"")</f>
        <v/>
      </c>
      <c r="X5" s="15"/>
    </row>
    <row r="6" ht="20" customHeight="1" spans="1:24">
      <c r="A6" s="16" t="s">
        <v>53</v>
      </c>
      <c r="B6" s="17" t="s">
        <v>61</v>
      </c>
      <c r="C6" s="17" t="s">
        <v>62</v>
      </c>
      <c r="D6" s="17" t="s">
        <v>37</v>
      </c>
      <c r="E6" s="17" t="s">
        <v>56</v>
      </c>
      <c r="F6" s="18">
        <v>30</v>
      </c>
      <c r="G6" s="17" t="s">
        <v>126</v>
      </c>
      <c r="H6" s="17" t="s">
        <v>74</v>
      </c>
      <c r="I6" s="17" t="s">
        <v>59</v>
      </c>
      <c r="J6" s="17"/>
      <c r="K6" s="19"/>
      <c r="L6" s="19">
        <f>IFERROR((1-K6/VLOOKUP(D6,基线!$B$5:$H$6,2,FALSE))*100,"")</f>
        <v>100</v>
      </c>
      <c r="M6" s="19"/>
      <c r="N6" s="19">
        <f>IFERROR((1-M6/VLOOKUP(D6,基线!$B$5:$H$6,4,FALSE))*100,"")</f>
        <v>100</v>
      </c>
      <c r="O6" s="19"/>
      <c r="P6" s="19"/>
      <c r="Q6" s="19"/>
      <c r="R6" s="19"/>
      <c r="S6" s="19"/>
      <c r="T6" s="19"/>
      <c r="U6" s="20" t="str">
        <f>IFERROR(Q6-VLOOKUP(D6,基线!$B$5:$H$6,8,FALSE),"")</f>
        <v/>
      </c>
      <c r="V6" s="20" t="str">
        <f>IFERROR(S6-VLOOKUP(D6,基线!$B$5:$H$6,10,FALSE),"")</f>
        <v/>
      </c>
      <c r="W6" s="20" t="str">
        <f>IFERROR(T6-VLOOKUP(D6,基线!$B$5:$H$6,11,FALSE),"")</f>
        <v/>
      </c>
      <c r="X6" s="21"/>
    </row>
    <row r="7" ht="20" customHeight="1" spans="1:24">
      <c r="A7" s="16" t="s">
        <v>53</v>
      </c>
      <c r="B7" s="17" t="s">
        <v>63</v>
      </c>
      <c r="C7" s="17" t="s">
        <v>64</v>
      </c>
      <c r="D7" s="17" t="s">
        <v>37</v>
      </c>
      <c r="E7" s="17" t="s">
        <v>56</v>
      </c>
      <c r="F7" s="18">
        <v>50</v>
      </c>
      <c r="G7" s="17" t="s">
        <v>126</v>
      </c>
      <c r="H7" s="17" t="s">
        <v>74</v>
      </c>
      <c r="I7" s="17" t="s">
        <v>59</v>
      </c>
      <c r="J7" s="17"/>
      <c r="K7" s="19"/>
      <c r="L7" s="19">
        <f>IFERROR((1-K7/VLOOKUP(D7,基线!$B$5:$H$6,2,FALSE))*100,"")</f>
        <v>100</v>
      </c>
      <c r="M7" s="19"/>
      <c r="N7" s="19">
        <f>IFERROR((1-M7/VLOOKUP(D7,基线!$B$5:$H$6,4,FALSE))*100,"")</f>
        <v>100</v>
      </c>
      <c r="O7" s="19"/>
      <c r="P7" s="19"/>
      <c r="Q7" s="19"/>
      <c r="R7" s="19"/>
      <c r="S7" s="19"/>
      <c r="T7" s="19"/>
      <c r="U7" s="20" t="str">
        <f>IFERROR(Q7-VLOOKUP(D7,基线!$B$5:$H$6,8,FALSE),"")</f>
        <v/>
      </c>
      <c r="V7" s="20" t="str">
        <f>IFERROR(S7-VLOOKUP(D7,基线!$B$5:$H$6,10,FALSE),"")</f>
        <v/>
      </c>
      <c r="W7" s="20" t="str">
        <f>IFERROR(T7-VLOOKUP(D7,基线!$B$5:$H$6,11,FALSE),"")</f>
        <v/>
      </c>
      <c r="X7" s="21"/>
    </row>
    <row r="8" ht="20" customHeight="1" spans="1:24">
      <c r="A8" s="16" t="s">
        <v>53</v>
      </c>
      <c r="B8" s="17" t="s">
        <v>65</v>
      </c>
      <c r="C8" s="17" t="s">
        <v>66</v>
      </c>
      <c r="D8" s="17" t="s">
        <v>37</v>
      </c>
      <c r="E8" s="17" t="s">
        <v>56</v>
      </c>
      <c r="F8" s="18">
        <v>70</v>
      </c>
      <c r="G8" s="17" t="s">
        <v>126</v>
      </c>
      <c r="H8" s="17" t="s">
        <v>74</v>
      </c>
      <c r="I8" s="17" t="s">
        <v>59</v>
      </c>
      <c r="J8" s="17"/>
      <c r="K8" s="19"/>
      <c r="L8" s="19">
        <f>IFERROR((1-K8/VLOOKUP(D8,基线!$B$5:$H$6,2,FALSE))*100,"")</f>
        <v>100</v>
      </c>
      <c r="M8" s="19"/>
      <c r="N8" s="19">
        <f>IFERROR((1-M8/VLOOKUP(D8,基线!$B$5:$H$6,4,FALSE))*100,"")</f>
        <v>100</v>
      </c>
      <c r="O8" s="19"/>
      <c r="P8" s="19"/>
      <c r="Q8" s="19"/>
      <c r="R8" s="19"/>
      <c r="S8" s="19"/>
      <c r="T8" s="19"/>
      <c r="U8" s="20" t="str">
        <f>IFERROR(Q8-VLOOKUP(D8,基线!$B$5:$H$6,8,FALSE),"")</f>
        <v/>
      </c>
      <c r="V8" s="20" t="str">
        <f>IFERROR(S8-VLOOKUP(D8,基线!$B$5:$H$6,10,FALSE),"")</f>
        <v/>
      </c>
      <c r="W8" s="20" t="str">
        <f>IFERROR(T8-VLOOKUP(D8,基线!$B$5:$H$6,11,FALSE),"")</f>
        <v/>
      </c>
      <c r="X8" s="21"/>
    </row>
    <row r="9" ht="20" customHeight="1" spans="1:24">
      <c r="A9" s="16" t="s">
        <v>53</v>
      </c>
      <c r="B9" s="17" t="s">
        <v>67</v>
      </c>
      <c r="C9" s="17" t="s">
        <v>68</v>
      </c>
      <c r="D9" s="17" t="s">
        <v>37</v>
      </c>
      <c r="E9" s="17" t="s">
        <v>56</v>
      </c>
      <c r="F9" s="18">
        <v>90</v>
      </c>
      <c r="G9" s="17" t="s">
        <v>126</v>
      </c>
      <c r="H9" s="17" t="s">
        <v>74</v>
      </c>
      <c r="I9" s="17" t="s">
        <v>59</v>
      </c>
      <c r="J9" s="17"/>
      <c r="K9" s="19"/>
      <c r="L9" s="19">
        <f>IFERROR((1-K9/VLOOKUP(D9,基线!$B$5:$H$6,2,FALSE))*100,"")</f>
        <v>100</v>
      </c>
      <c r="M9" s="19"/>
      <c r="N9" s="19">
        <f>IFERROR((1-M9/VLOOKUP(D9,基线!$B$5:$H$6,4,FALSE))*100,"")</f>
        <v>100</v>
      </c>
      <c r="O9" s="19"/>
      <c r="P9" s="19"/>
      <c r="Q9" s="19"/>
      <c r="R9" s="19"/>
      <c r="S9" s="19"/>
      <c r="T9" s="19"/>
      <c r="U9" s="20" t="str">
        <f>IFERROR(Q9-VLOOKUP(D9,基线!$B$5:$H$6,8,FALSE),"")</f>
        <v/>
      </c>
      <c r="V9" s="20" t="str">
        <f>IFERROR(S9-VLOOKUP(D9,基线!$B$5:$H$6,10,FALSE),"")</f>
        <v/>
      </c>
      <c r="W9" s="20" t="str">
        <f>IFERROR(T9-VLOOKUP(D9,基线!$B$5:$H$6,11,FALSE),"")</f>
        <v/>
      </c>
      <c r="X9" s="21"/>
    </row>
    <row r="10" ht="20" customHeight="1" spans="1:24">
      <c r="A10" s="16" t="s">
        <v>84</v>
      </c>
      <c r="B10" s="17" t="s">
        <v>127</v>
      </c>
      <c r="C10" s="17" t="s">
        <v>128</v>
      </c>
      <c r="D10" s="17" t="s">
        <v>37</v>
      </c>
      <c r="E10" s="17" t="s">
        <v>72</v>
      </c>
      <c r="F10" s="18">
        <v>30</v>
      </c>
      <c r="G10" s="17" t="s">
        <v>126</v>
      </c>
      <c r="H10" s="17" t="s">
        <v>129</v>
      </c>
      <c r="I10" s="17" t="s">
        <v>97</v>
      </c>
      <c r="J10" s="17"/>
      <c r="K10" s="19"/>
      <c r="L10" s="19">
        <f>IFERROR((1-K10/VLOOKUP(D10,基线!$B$5:$H$6,2,FALSE))*100,"")</f>
        <v>100</v>
      </c>
      <c r="M10" s="19"/>
      <c r="N10" s="19">
        <f>IFERROR((1-M10/VLOOKUP(D10,基线!$B$5:$H$6,4,FALSE))*100,"")</f>
        <v>100</v>
      </c>
      <c r="O10" s="19"/>
      <c r="P10" s="19"/>
      <c r="Q10" s="19"/>
      <c r="R10" s="19"/>
      <c r="S10" s="19"/>
      <c r="T10" s="19"/>
      <c r="U10" s="20" t="str">
        <f>IFERROR(Q10-VLOOKUP(D10,基线!$B$5:$H$6,8,FALSE),"")</f>
        <v/>
      </c>
      <c r="V10" s="20" t="str">
        <f>IFERROR(S10-VLOOKUP(D10,基线!$B$5:$H$6,10,FALSE),"")</f>
        <v/>
      </c>
      <c r="W10" s="20" t="str">
        <f>IFERROR(T10-VLOOKUP(D10,基线!$B$5:$H$6,11,FALSE),"")</f>
        <v/>
      </c>
      <c r="X10" s="21"/>
    </row>
    <row r="11" ht="20" customHeight="1" spans="1:24">
      <c r="A11" s="16" t="s">
        <v>84</v>
      </c>
      <c r="B11" s="17" t="s">
        <v>130</v>
      </c>
      <c r="C11" s="17" t="s">
        <v>131</v>
      </c>
      <c r="D11" s="17" t="s">
        <v>37</v>
      </c>
      <c r="E11" s="17" t="s">
        <v>72</v>
      </c>
      <c r="F11" s="18">
        <v>90</v>
      </c>
      <c r="G11" s="17" t="s">
        <v>126</v>
      </c>
      <c r="H11" s="17" t="s">
        <v>129</v>
      </c>
      <c r="I11" s="17" t="s">
        <v>97</v>
      </c>
      <c r="J11" s="17"/>
      <c r="K11" s="19"/>
      <c r="L11" s="19">
        <f>IFERROR((1-K11/VLOOKUP(D11,基线!$B$5:$H$6,2,FALSE))*100,"")</f>
        <v>100</v>
      </c>
      <c r="M11" s="19"/>
      <c r="N11" s="19">
        <f>IFERROR((1-M11/VLOOKUP(D11,基线!$B$5:$H$6,4,FALSE))*100,"")</f>
        <v>100</v>
      </c>
      <c r="O11" s="19"/>
      <c r="P11" s="19"/>
      <c r="Q11" s="19"/>
      <c r="R11" s="19"/>
      <c r="S11" s="19"/>
      <c r="T11" s="19"/>
      <c r="U11" s="20" t="str">
        <f>IFERROR(Q11-VLOOKUP(D11,基线!$B$5:$H$6,8,FALSE),"")</f>
        <v/>
      </c>
      <c r="V11" s="20" t="str">
        <f>IFERROR(S11-VLOOKUP(D11,基线!$B$5:$H$6,10,FALSE),"")</f>
        <v/>
      </c>
      <c r="W11" s="20" t="str">
        <f>IFERROR(T11-VLOOKUP(D11,基线!$B$5:$H$6,11,FALSE),"")</f>
        <v/>
      </c>
      <c r="X11" s="21"/>
    </row>
    <row r="12" ht="20" customHeight="1" spans="1:24">
      <c r="A12" s="16" t="s">
        <v>132</v>
      </c>
      <c r="B12" s="17" t="s">
        <v>133</v>
      </c>
      <c r="C12" s="17" t="s">
        <v>134</v>
      </c>
      <c r="D12" s="17" t="s">
        <v>37</v>
      </c>
      <c r="E12" s="17" t="s">
        <v>56</v>
      </c>
      <c r="F12" s="18">
        <v>10</v>
      </c>
      <c r="G12" s="17" t="s">
        <v>126</v>
      </c>
      <c r="H12" s="17" t="s">
        <v>74</v>
      </c>
      <c r="I12" s="17" t="s">
        <v>97</v>
      </c>
      <c r="J12" s="17"/>
      <c r="K12" s="19"/>
      <c r="L12" s="19">
        <f>IFERROR((1-K12/VLOOKUP(D12,基线!$B$5:$H$6,2,FALSE))*100,"")</f>
        <v>100</v>
      </c>
      <c r="M12" s="19"/>
      <c r="N12" s="19">
        <f>IFERROR((1-M12/VLOOKUP(D12,基线!$B$5:$H$6,4,FALSE))*100,"")</f>
        <v>100</v>
      </c>
      <c r="O12" s="19"/>
      <c r="P12" s="19"/>
      <c r="Q12" s="19"/>
      <c r="R12" s="19"/>
      <c r="S12" s="19"/>
      <c r="T12" s="19"/>
      <c r="U12" s="20" t="str">
        <f>IFERROR(Q12-VLOOKUP(D12,基线!$B$5:$H$6,8,FALSE),"")</f>
        <v/>
      </c>
      <c r="V12" s="20" t="str">
        <f>IFERROR(S12-VLOOKUP(D12,基线!$B$5:$H$6,10,FALSE),"")</f>
        <v/>
      </c>
      <c r="W12" s="20" t="str">
        <f>IFERROR(T12-VLOOKUP(D12,基线!$B$5:$H$6,11,FALSE),"")</f>
        <v/>
      </c>
      <c r="X12" s="21"/>
    </row>
    <row r="13" ht="20" customHeight="1" spans="1:24">
      <c r="A13" s="16" t="s">
        <v>132</v>
      </c>
      <c r="B13" s="17" t="s">
        <v>135</v>
      </c>
      <c r="C13" s="17" t="s">
        <v>136</v>
      </c>
      <c r="D13" s="17" t="s">
        <v>37</v>
      </c>
      <c r="E13" s="17" t="s">
        <v>56</v>
      </c>
      <c r="F13" s="18">
        <v>30</v>
      </c>
      <c r="G13" s="17" t="s">
        <v>126</v>
      </c>
      <c r="H13" s="17" t="s">
        <v>74</v>
      </c>
      <c r="I13" s="17" t="s">
        <v>97</v>
      </c>
      <c r="J13" s="17"/>
      <c r="K13" s="19"/>
      <c r="L13" s="19">
        <f>IFERROR((1-K13/VLOOKUP(D13,基线!$B$5:$H$6,2,FALSE))*100,"")</f>
        <v>100</v>
      </c>
      <c r="M13" s="19"/>
      <c r="N13" s="19">
        <f>IFERROR((1-M13/VLOOKUP(D13,基线!$B$5:$H$6,4,FALSE))*100,"")</f>
        <v>100</v>
      </c>
      <c r="O13" s="19"/>
      <c r="P13" s="19"/>
      <c r="Q13" s="19"/>
      <c r="R13" s="19"/>
      <c r="S13" s="19"/>
      <c r="T13" s="19"/>
      <c r="U13" s="20" t="str">
        <f>IFERROR(Q13-VLOOKUP(D13,基线!$B$5:$H$6,8,FALSE),"")</f>
        <v/>
      </c>
      <c r="V13" s="20" t="str">
        <f>IFERROR(S13-VLOOKUP(D13,基线!$B$5:$H$6,10,FALSE),"")</f>
        <v/>
      </c>
      <c r="W13" s="20" t="str">
        <f>IFERROR(T13-VLOOKUP(D13,基线!$B$5:$H$6,11,FALSE),"")</f>
        <v/>
      </c>
      <c r="X13" s="21"/>
    </row>
    <row r="14" ht="20" customHeight="1" spans="1:24">
      <c r="A14" s="16" t="s">
        <v>132</v>
      </c>
      <c r="B14" s="17" t="s">
        <v>95</v>
      </c>
      <c r="C14" s="17" t="s">
        <v>96</v>
      </c>
      <c r="D14" s="17" t="s">
        <v>37</v>
      </c>
      <c r="E14" s="17" t="s">
        <v>56</v>
      </c>
      <c r="F14" s="18">
        <v>90</v>
      </c>
      <c r="G14" s="17" t="s">
        <v>126</v>
      </c>
      <c r="H14" s="17" t="s">
        <v>74</v>
      </c>
      <c r="I14" s="17" t="s">
        <v>97</v>
      </c>
      <c r="J14" s="17"/>
      <c r="K14" s="19"/>
      <c r="L14" s="19">
        <f>IFERROR((1-K14/VLOOKUP(D14,基线!$B$5:$H$6,2,FALSE))*100,"")</f>
        <v>100</v>
      </c>
      <c r="M14" s="19"/>
      <c r="N14" s="19">
        <f>IFERROR((1-M14/VLOOKUP(D14,基线!$B$5:$H$6,4,FALSE))*100,"")</f>
        <v>100</v>
      </c>
      <c r="O14" s="19"/>
      <c r="P14" s="19"/>
      <c r="Q14" s="19"/>
      <c r="R14" s="19"/>
      <c r="S14" s="19"/>
      <c r="T14" s="19"/>
      <c r="U14" s="20" t="str">
        <f>IFERROR(Q14-VLOOKUP(D14,基线!$B$5:$H$6,8,FALSE),"")</f>
        <v/>
      </c>
      <c r="V14" s="20" t="str">
        <f>IFERROR(S14-VLOOKUP(D14,基线!$B$5:$H$6,10,FALSE),"")</f>
        <v/>
      </c>
      <c r="W14" s="20" t="str">
        <f>IFERROR(T14-VLOOKUP(D14,基线!$B$5:$H$6,11,FALSE),"")</f>
        <v/>
      </c>
      <c r="X14" s="21"/>
    </row>
    <row r="15" ht="20" customHeight="1" spans="1:24">
      <c r="A15" s="16" t="s">
        <v>132</v>
      </c>
      <c r="B15" s="17" t="s">
        <v>137</v>
      </c>
      <c r="C15" s="17" t="s">
        <v>138</v>
      </c>
      <c r="D15" s="17" t="s">
        <v>37</v>
      </c>
      <c r="E15" s="17" t="s">
        <v>72</v>
      </c>
      <c r="F15" s="18">
        <v>50</v>
      </c>
      <c r="G15" s="17" t="s">
        <v>88</v>
      </c>
      <c r="H15" s="17" t="s">
        <v>139</v>
      </c>
      <c r="I15" s="17" t="s">
        <v>97</v>
      </c>
      <c r="J15" s="17">
        <v>100</v>
      </c>
      <c r="K15" s="19"/>
      <c r="L15" s="19">
        <f>IFERROR((1-K15/VLOOKUP(D15,基线!$B$5:$H$6,2,FALSE))*100,"")</f>
        <v>100</v>
      </c>
      <c r="M15" s="19"/>
      <c r="N15" s="19">
        <f>IFERROR((1-M15/VLOOKUP(D15,基线!$B$5:$H$6,4,FALSE))*100,"")</f>
        <v>100</v>
      </c>
      <c r="O15" s="19"/>
      <c r="P15" s="19"/>
      <c r="Q15" s="19"/>
      <c r="R15" s="19"/>
      <c r="S15" s="19"/>
      <c r="T15" s="19"/>
      <c r="U15" s="20" t="str">
        <f>IFERROR(Q15-VLOOKUP(D15,基线!$B$5:$H$6,8,FALSE),"")</f>
        <v/>
      </c>
      <c r="V15" s="20" t="str">
        <f>IFERROR(S15-VLOOKUP(D15,基线!$B$5:$H$6,10,FALSE),"")</f>
        <v/>
      </c>
      <c r="W15" s="20" t="str">
        <f>IFERROR(T15-VLOOKUP(D15,基线!$B$5:$H$6,11,FALSE),"")</f>
        <v/>
      </c>
      <c r="X15" s="21"/>
    </row>
    <row r="16" ht="20" customHeight="1" spans="1:24">
      <c r="A16" s="16" t="s">
        <v>132</v>
      </c>
      <c r="B16" s="17" t="s">
        <v>140</v>
      </c>
      <c r="C16" s="17" t="s">
        <v>141</v>
      </c>
      <c r="D16" s="17" t="s">
        <v>37</v>
      </c>
      <c r="E16" s="17" t="s">
        <v>72</v>
      </c>
      <c r="F16" s="18">
        <v>70</v>
      </c>
      <c r="G16" s="17" t="s">
        <v>88</v>
      </c>
      <c r="H16" s="17" t="s">
        <v>139</v>
      </c>
      <c r="I16" s="17" t="s">
        <v>97</v>
      </c>
      <c r="J16" s="17">
        <v>60</v>
      </c>
      <c r="K16" s="19"/>
      <c r="L16" s="19">
        <f>IFERROR((1-K16/VLOOKUP(D16,基线!$B$5:$H$6,2,FALSE))*100,"")</f>
        <v>100</v>
      </c>
      <c r="M16" s="19"/>
      <c r="N16" s="19">
        <f>IFERROR((1-M16/VLOOKUP(D16,基线!$B$5:$H$6,4,FALSE))*100,"")</f>
        <v>100</v>
      </c>
      <c r="O16" s="19"/>
      <c r="P16" s="19"/>
      <c r="Q16" s="19"/>
      <c r="R16" s="19"/>
      <c r="S16" s="19"/>
      <c r="T16" s="19"/>
      <c r="U16" s="20" t="str">
        <f>IFERROR(Q16-VLOOKUP(D16,基线!$B$5:$H$6,8,FALSE),"")</f>
        <v/>
      </c>
      <c r="V16" s="20" t="str">
        <f>IFERROR(S16-VLOOKUP(D16,基线!$B$5:$H$6,10,FALSE),"")</f>
        <v/>
      </c>
      <c r="W16" s="20" t="str">
        <f>IFERROR(T16-VLOOKUP(D16,基线!$B$5:$H$6,11,FALSE),"")</f>
        <v/>
      </c>
      <c r="X16" s="21"/>
    </row>
    <row r="17" ht="20" customHeight="1" spans="1:24">
      <c r="A17" s="16" t="s">
        <v>132</v>
      </c>
      <c r="B17" s="17" t="s">
        <v>119</v>
      </c>
      <c r="C17" s="17" t="s">
        <v>120</v>
      </c>
      <c r="D17" s="17" t="s">
        <v>37</v>
      </c>
      <c r="E17" s="17" t="s">
        <v>72</v>
      </c>
      <c r="F17" s="18">
        <v>50</v>
      </c>
      <c r="G17" s="17" t="s">
        <v>88</v>
      </c>
      <c r="H17" s="17" t="s">
        <v>142</v>
      </c>
      <c r="I17" s="17" t="s">
        <v>121</v>
      </c>
      <c r="J17" s="17">
        <v>50</v>
      </c>
      <c r="K17" s="19"/>
      <c r="L17" s="19">
        <f>IFERROR((1-K17/VLOOKUP(D17,基线!$B$5:$H$6,2,FALSE))*100,"")</f>
        <v>100</v>
      </c>
      <c r="M17" s="19"/>
      <c r="N17" s="19">
        <f>IFERROR((1-M17/VLOOKUP(D17,基线!$B$5:$H$6,4,FALSE))*100,"")</f>
        <v>100</v>
      </c>
      <c r="O17" s="19"/>
      <c r="P17" s="19"/>
      <c r="Q17" s="19"/>
      <c r="R17" s="19"/>
      <c r="S17" s="19"/>
      <c r="T17" s="19"/>
      <c r="U17" s="20" t="str">
        <f>IFERROR(Q17-VLOOKUP(D17,基线!$B$5:$H$6,8,FALSE),"")</f>
        <v/>
      </c>
      <c r="V17" s="20" t="str">
        <f>IFERROR(S17-VLOOKUP(D17,基线!$B$5:$H$6,10,FALSE),"")</f>
        <v/>
      </c>
      <c r="W17" s="20" t="str">
        <f>IFERROR(T17-VLOOKUP(D17,基线!$B$5:$H$6,11,FALSE),"")</f>
        <v/>
      </c>
      <c r="X17" s="21"/>
    </row>
    <row r="18" ht="20" customHeight="1" spans="1:24">
      <c r="A18" s="16"/>
      <c r="B18" s="17"/>
      <c r="C18" s="17"/>
      <c r="D18" s="17"/>
      <c r="E18" s="17"/>
      <c r="F18" s="18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20"/>
      <c r="V18" s="20"/>
      <c r="W18" s="20"/>
      <c r="X18" s="21"/>
    </row>
    <row r="19" ht="20" customHeight="1" spans="1:24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20"/>
      <c r="V19" s="20"/>
      <c r="W19" s="20"/>
      <c r="X19" s="21"/>
    </row>
    <row r="20" ht="20" customHeight="1" spans="1:24">
      <c r="A20" s="16"/>
      <c r="B20" s="17"/>
      <c r="C20" s="17"/>
      <c r="D20" s="17"/>
      <c r="E20" s="17"/>
      <c r="F20" s="18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20"/>
      <c r="V20" s="20"/>
      <c r="W20" s="20"/>
      <c r="X20" s="21"/>
    </row>
    <row r="21" ht="20" customHeight="1" spans="1:24">
      <c r="A21" s="16"/>
      <c r="B21" s="17"/>
      <c r="C21" s="17"/>
      <c r="D21" s="17"/>
      <c r="E21" s="17"/>
      <c r="F21" s="18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20"/>
      <c r="V21" s="20"/>
      <c r="W21" s="20"/>
      <c r="X21" s="21"/>
    </row>
    <row r="22" ht="20" customHeight="1" spans="1:24">
      <c r="A22" s="16"/>
      <c r="B22" s="17"/>
      <c r="C22" s="17"/>
      <c r="D22" s="17"/>
      <c r="E22" s="17"/>
      <c r="F22" s="18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20"/>
      <c r="V22" s="20"/>
      <c r="W22" s="20"/>
      <c r="X22" s="21"/>
    </row>
    <row r="23" ht="20" customHeight="1" spans="1:24">
      <c r="A23" s="16"/>
      <c r="B23" s="17"/>
      <c r="C23" s="17"/>
      <c r="D23" s="17"/>
      <c r="E23" s="17"/>
      <c r="F23" s="18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20"/>
      <c r="V23" s="20"/>
      <c r="W23" s="20"/>
      <c r="X23" s="21"/>
    </row>
    <row r="24" ht="20" customHeight="1" spans="1:24">
      <c r="A24" s="16"/>
      <c r="B24" s="17"/>
      <c r="C24" s="17"/>
      <c r="D24" s="17"/>
      <c r="E24" s="17"/>
      <c r="F24" s="18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20"/>
      <c r="V24" s="20"/>
      <c r="W24" s="20"/>
      <c r="X24" s="21"/>
    </row>
    <row r="25" ht="20" customHeight="1" spans="1:24">
      <c r="A25" s="16"/>
      <c r="B25" s="17"/>
      <c r="C25" s="17"/>
      <c r="D25" s="17"/>
      <c r="E25" s="17"/>
      <c r="F25" s="18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20"/>
      <c r="V25" s="20"/>
      <c r="W25" s="20"/>
      <c r="X25" s="21"/>
    </row>
    <row r="26" ht="20" customHeight="1" spans="1:24">
      <c r="A26" s="16"/>
      <c r="B26" s="17"/>
      <c r="C26" s="17"/>
      <c r="D26" s="17"/>
      <c r="E26" s="17"/>
      <c r="F26" s="18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20"/>
      <c r="V26" s="20"/>
      <c r="W26" s="20"/>
      <c r="X26" s="21"/>
    </row>
    <row r="27" ht="20" customHeight="1" spans="1:24">
      <c r="A27" s="16"/>
      <c r="B27" s="17"/>
      <c r="C27" s="17"/>
      <c r="D27" s="17"/>
      <c r="E27" s="17"/>
      <c r="F27" s="18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20"/>
      <c r="V27" s="20"/>
      <c r="W27" s="20"/>
      <c r="X27" s="21"/>
    </row>
    <row r="28" ht="20" customHeight="1" spans="1:24">
      <c r="A28" s="16"/>
      <c r="B28" s="17"/>
      <c r="C28" s="17"/>
      <c r="D28" s="17"/>
      <c r="E28" s="17"/>
      <c r="F28" s="18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20"/>
      <c r="V28" s="20"/>
      <c r="W28" s="20"/>
      <c r="X28" s="21"/>
    </row>
    <row r="29" ht="20" customHeight="1" spans="1:24">
      <c r="A29" s="16"/>
      <c r="B29" s="17"/>
      <c r="C29" s="17"/>
      <c r="D29" s="17"/>
      <c r="E29" s="17"/>
      <c r="F29" s="18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20"/>
      <c r="V29" s="20"/>
      <c r="W29" s="20"/>
      <c r="X29" s="21"/>
    </row>
    <row r="30" ht="20" customHeight="1" spans="1:24">
      <c r="A30" s="16"/>
      <c r="B30" s="17"/>
      <c r="C30" s="17"/>
      <c r="D30" s="17"/>
      <c r="E30" s="17"/>
      <c r="F30" s="18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20"/>
      <c r="V30" s="20"/>
      <c r="W30" s="20"/>
      <c r="X30" s="21"/>
    </row>
    <row r="31" ht="20" customHeight="1" spans="1:24">
      <c r="A31" s="16"/>
      <c r="B31" s="17"/>
      <c r="C31" s="17"/>
      <c r="D31" s="17"/>
      <c r="E31" s="17"/>
      <c r="F31" s="18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20"/>
      <c r="V31" s="20"/>
      <c r="W31" s="20"/>
      <c r="X31" s="21"/>
    </row>
    <row r="32" ht="20" customHeight="1" spans="1:24">
      <c r="A32" s="16"/>
      <c r="B32" s="17"/>
      <c r="C32" s="17"/>
      <c r="D32" s="17"/>
      <c r="E32" s="17"/>
      <c r="F32" s="18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20"/>
      <c r="V32" s="20"/>
      <c r="W32" s="20"/>
      <c r="X32" s="21"/>
    </row>
    <row r="33" ht="20" customHeight="1" spans="1:24">
      <c r="A33" s="16"/>
      <c r="B33" s="17"/>
      <c r="C33" s="17"/>
      <c r="D33" s="17"/>
      <c r="E33" s="17"/>
      <c r="F33" s="18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20"/>
      <c r="V33" s="20"/>
      <c r="W33" s="20"/>
      <c r="X33" s="21"/>
    </row>
    <row r="34" ht="20" customHeight="1" spans="1:24">
      <c r="A34" s="16"/>
      <c r="B34" s="17"/>
      <c r="C34" s="17"/>
      <c r="D34" s="17"/>
      <c r="E34" s="17"/>
      <c r="F34" s="18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20"/>
      <c r="V34" s="20"/>
      <c r="W34" s="20"/>
      <c r="X34" s="21"/>
    </row>
    <row r="35" ht="20" customHeight="1" spans="1:24">
      <c r="A35" s="16"/>
      <c r="B35" s="17"/>
      <c r="C35" s="17"/>
      <c r="D35" s="17"/>
      <c r="E35" s="17"/>
      <c r="F35" s="18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20"/>
      <c r="V35" s="20"/>
      <c r="W35" s="20"/>
      <c r="X35" s="21"/>
    </row>
    <row r="36" ht="20" customHeight="1" spans="1:24">
      <c r="A36" s="16"/>
      <c r="B36" s="17"/>
      <c r="C36" s="17"/>
      <c r="D36" s="17"/>
      <c r="E36" s="17"/>
      <c r="F36" s="18"/>
      <c r="G36" s="17"/>
      <c r="H36" s="17"/>
      <c r="I36" s="17"/>
      <c r="J36" s="17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20"/>
      <c r="V36" s="20"/>
      <c r="W36" s="20"/>
      <c r="X36" s="21"/>
    </row>
    <row r="37" ht="20" customHeight="1" spans="1:24">
      <c r="A37" s="16"/>
      <c r="B37" s="17"/>
      <c r="C37" s="17"/>
      <c r="D37" s="17"/>
      <c r="E37" s="17"/>
      <c r="F37" s="18"/>
      <c r="G37" s="17"/>
      <c r="H37" s="17"/>
      <c r="I37" s="17"/>
      <c r="J37" s="17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20"/>
      <c r="V37" s="20"/>
      <c r="W37" s="20"/>
      <c r="X37" s="21"/>
    </row>
    <row r="38" ht="20" customHeight="1" spans="1:24">
      <c r="A38" s="16"/>
      <c r="B38" s="17"/>
      <c r="C38" s="17"/>
      <c r="D38" s="17"/>
      <c r="E38" s="17"/>
      <c r="F38" s="18"/>
      <c r="G38" s="17"/>
      <c r="H38" s="17"/>
      <c r="I38" s="17"/>
      <c r="J38" s="17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20"/>
      <c r="V38" s="20"/>
      <c r="W38" s="20"/>
      <c r="X38" s="21"/>
    </row>
    <row r="39" ht="20" customHeight="1" spans="1:24">
      <c r="A39" s="16"/>
      <c r="B39" s="17"/>
      <c r="C39" s="17"/>
      <c r="D39" s="17"/>
      <c r="E39" s="17"/>
      <c r="F39" s="18"/>
      <c r="G39" s="17"/>
      <c r="H39" s="17"/>
      <c r="I39" s="17"/>
      <c r="J39" s="17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20"/>
      <c r="W39" s="20"/>
      <c r="X39" s="21"/>
    </row>
    <row r="40" ht="20" customHeight="1" spans="1:24">
      <c r="A40" s="16"/>
      <c r="B40" s="17"/>
      <c r="C40" s="17"/>
      <c r="D40" s="17"/>
      <c r="E40" s="17"/>
      <c r="F40" s="18"/>
      <c r="G40" s="17"/>
      <c r="H40" s="17"/>
      <c r="I40" s="17"/>
      <c r="J40" s="17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20"/>
      <c r="V40" s="20"/>
      <c r="W40" s="20"/>
      <c r="X40" s="21"/>
    </row>
    <row r="41" ht="20" customHeight="1" spans="1:24">
      <c r="A41" s="16"/>
      <c r="B41" s="17"/>
      <c r="C41" s="17"/>
      <c r="D41" s="17"/>
      <c r="E41" s="17"/>
      <c r="F41" s="18"/>
      <c r="G41" s="17"/>
      <c r="H41" s="17"/>
      <c r="I41" s="17"/>
      <c r="J41" s="17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20"/>
      <c r="V41" s="20"/>
      <c r="W41" s="20"/>
      <c r="X41" s="21"/>
    </row>
    <row r="42" ht="20" customHeight="1" spans="1:24">
      <c r="A42" s="16"/>
      <c r="B42" s="17"/>
      <c r="C42" s="17"/>
      <c r="D42" s="17"/>
      <c r="E42" s="17"/>
      <c r="F42" s="18"/>
      <c r="G42" s="17"/>
      <c r="H42" s="17"/>
      <c r="I42" s="17"/>
      <c r="J42" s="17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20"/>
      <c r="V42" s="20"/>
      <c r="W42" s="20"/>
      <c r="X42" s="21"/>
    </row>
    <row r="43" ht="20" customHeight="1" spans="1:24">
      <c r="A43" s="16"/>
      <c r="B43" s="17"/>
      <c r="C43" s="17"/>
      <c r="D43" s="17"/>
      <c r="E43" s="17"/>
      <c r="F43" s="18"/>
      <c r="G43" s="17"/>
      <c r="H43" s="17"/>
      <c r="I43" s="17"/>
      <c r="J43" s="17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20"/>
      <c r="V43" s="20"/>
      <c r="W43" s="20"/>
      <c r="X43" s="21"/>
    </row>
    <row r="44" ht="20" customHeight="1" spans="1:24">
      <c r="A44" s="16"/>
      <c r="B44" s="17"/>
      <c r="C44" s="17"/>
      <c r="D44" s="17"/>
      <c r="E44" s="17"/>
      <c r="F44" s="18"/>
      <c r="G44" s="17"/>
      <c r="H44" s="17"/>
      <c r="I44" s="17"/>
      <c r="J44" s="17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  <c r="V44" s="20"/>
      <c r="W44" s="20"/>
      <c r="X44" s="21"/>
    </row>
    <row r="45" ht="20" customHeight="1" spans="1:24">
      <c r="A45" s="16"/>
      <c r="B45" s="17"/>
      <c r="C45" s="17"/>
      <c r="D45" s="17"/>
      <c r="E45" s="17"/>
      <c r="F45" s="18"/>
      <c r="G45" s="17"/>
      <c r="H45" s="17"/>
      <c r="I45" s="17"/>
      <c r="J45" s="17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20"/>
      <c r="V45" s="20"/>
      <c r="W45" s="20"/>
      <c r="X45" s="21"/>
    </row>
    <row r="46" ht="20" customHeight="1" spans="1:24">
      <c r="A46" s="16"/>
      <c r="B46" s="17"/>
      <c r="C46" s="17"/>
      <c r="D46" s="17"/>
      <c r="E46" s="17"/>
      <c r="F46" s="18"/>
      <c r="G46" s="17"/>
      <c r="H46" s="17"/>
      <c r="I46" s="17"/>
      <c r="J46" s="17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20"/>
      <c r="V46" s="20"/>
      <c r="W46" s="20"/>
      <c r="X46" s="21"/>
    </row>
    <row r="47" ht="20" customHeight="1" spans="1:24">
      <c r="A47" s="16"/>
      <c r="B47" s="17"/>
      <c r="C47" s="17"/>
      <c r="D47" s="17"/>
      <c r="E47" s="17"/>
      <c r="F47" s="18"/>
      <c r="G47" s="17"/>
      <c r="H47" s="17"/>
      <c r="I47" s="17"/>
      <c r="J47" s="17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20"/>
      <c r="V47" s="20"/>
      <c r="W47" s="20"/>
      <c r="X47" s="21"/>
    </row>
    <row r="48" ht="20" customHeight="1" spans="1:24">
      <c r="A48" s="16"/>
      <c r="B48" s="17"/>
      <c r="C48" s="17"/>
      <c r="D48" s="17"/>
      <c r="E48" s="17"/>
      <c r="F48" s="18"/>
      <c r="G48" s="17"/>
      <c r="H48" s="17"/>
      <c r="I48" s="17"/>
      <c r="J48" s="17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20"/>
      <c r="V48" s="20"/>
      <c r="W48" s="20"/>
      <c r="X48" s="21"/>
    </row>
    <row r="49" ht="20" customHeight="1" spans="1:24">
      <c r="A49" s="16"/>
      <c r="B49" s="17"/>
      <c r="C49" s="17"/>
      <c r="D49" s="17"/>
      <c r="E49" s="17"/>
      <c r="F49" s="18"/>
      <c r="G49" s="17"/>
      <c r="H49" s="17"/>
      <c r="I49" s="17"/>
      <c r="J49" s="17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20"/>
      <c r="V49" s="20"/>
      <c r="W49" s="20"/>
      <c r="X49" s="21"/>
    </row>
    <row r="50" ht="20" customHeight="1" spans="1:24">
      <c r="A50" s="16"/>
      <c r="B50" s="17"/>
      <c r="C50" s="17"/>
      <c r="D50" s="17"/>
      <c r="E50" s="17"/>
      <c r="F50" s="18"/>
      <c r="G50" s="17"/>
      <c r="H50" s="17"/>
      <c r="I50" s="17"/>
      <c r="J50" s="17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20"/>
      <c r="V50" s="20"/>
      <c r="W50" s="20"/>
      <c r="X50" s="21"/>
    </row>
    <row r="51" ht="20" customHeight="1" spans="1:24">
      <c r="A51" s="16"/>
      <c r="B51" s="17"/>
      <c r="C51" s="17"/>
      <c r="D51" s="17"/>
      <c r="E51" s="17"/>
      <c r="F51" s="18"/>
      <c r="G51" s="17"/>
      <c r="H51" s="17"/>
      <c r="I51" s="17"/>
      <c r="J51" s="17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20"/>
      <c r="V51" s="20"/>
      <c r="W51" s="20"/>
      <c r="X51" s="21"/>
    </row>
    <row r="52" ht="20" customHeight="1" spans="1:24">
      <c r="A52" s="16"/>
      <c r="B52" s="17"/>
      <c r="C52" s="17"/>
      <c r="D52" s="17"/>
      <c r="E52" s="17"/>
      <c r="F52" s="18"/>
      <c r="G52" s="17"/>
      <c r="H52" s="17"/>
      <c r="I52" s="17"/>
      <c r="J52" s="17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20"/>
      <c r="V52" s="20"/>
      <c r="W52" s="20"/>
      <c r="X52" s="21"/>
    </row>
    <row r="53" ht="20" customHeight="1" spans="1:24">
      <c r="A53" s="16"/>
      <c r="B53" s="17"/>
      <c r="C53" s="17"/>
      <c r="D53" s="17"/>
      <c r="E53" s="17"/>
      <c r="F53" s="18"/>
      <c r="G53" s="17"/>
      <c r="H53" s="17"/>
      <c r="I53" s="17"/>
      <c r="J53" s="17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20"/>
      <c r="V53" s="20"/>
      <c r="W53" s="20"/>
      <c r="X53" s="21"/>
    </row>
    <row r="54" ht="20" customHeight="1" spans="1:24">
      <c r="A54" s="16"/>
      <c r="B54" s="17"/>
      <c r="C54" s="17"/>
      <c r="D54" s="17"/>
      <c r="E54" s="17"/>
      <c r="F54" s="18"/>
      <c r="G54" s="17"/>
      <c r="H54" s="17"/>
      <c r="I54" s="17"/>
      <c r="J54" s="17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20"/>
      <c r="V54" s="20"/>
      <c r="W54" s="20"/>
      <c r="X54" s="21"/>
    </row>
    <row r="55" ht="20" customHeight="1" spans="1:24">
      <c r="A55" s="16"/>
      <c r="B55" s="17"/>
      <c r="C55" s="17"/>
      <c r="D55" s="17"/>
      <c r="E55" s="17"/>
      <c r="F55" s="18"/>
      <c r="G55" s="17"/>
      <c r="H55" s="17"/>
      <c r="I55" s="17"/>
      <c r="J55" s="17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20"/>
      <c r="V55" s="20"/>
      <c r="W55" s="20"/>
      <c r="X55" s="21"/>
    </row>
    <row r="56" ht="20" customHeight="1" spans="1:24">
      <c r="A56" s="16"/>
      <c r="B56" s="17"/>
      <c r="C56" s="17"/>
      <c r="D56" s="17"/>
      <c r="E56" s="17"/>
      <c r="F56" s="18"/>
      <c r="G56" s="17"/>
      <c r="H56" s="17"/>
      <c r="I56" s="17"/>
      <c r="J56" s="17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20"/>
      <c r="V56" s="20"/>
      <c r="W56" s="20"/>
      <c r="X56" s="21"/>
    </row>
    <row r="57" ht="20" customHeight="1" spans="1:24">
      <c r="A57" s="16"/>
      <c r="B57" s="17"/>
      <c r="C57" s="17"/>
      <c r="D57" s="17"/>
      <c r="E57" s="17"/>
      <c r="F57" s="18"/>
      <c r="G57" s="17"/>
      <c r="H57" s="17"/>
      <c r="I57" s="17"/>
      <c r="J57" s="17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20"/>
      <c r="V57" s="20"/>
      <c r="W57" s="20"/>
      <c r="X57" s="21"/>
    </row>
    <row r="58" ht="20" customHeight="1" spans="1:24">
      <c r="A58" s="16"/>
      <c r="B58" s="17"/>
      <c r="C58" s="17"/>
      <c r="D58" s="17"/>
      <c r="E58" s="17"/>
      <c r="F58" s="18"/>
      <c r="G58" s="17"/>
      <c r="H58" s="17"/>
      <c r="I58" s="17"/>
      <c r="J58" s="17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20"/>
      <c r="V58" s="20"/>
      <c r="W58" s="20"/>
      <c r="X58" s="21"/>
    </row>
    <row r="59" ht="20" customHeight="1" spans="1:24">
      <c r="A59" s="16"/>
      <c r="B59" s="17"/>
      <c r="C59" s="17"/>
      <c r="D59" s="17"/>
      <c r="E59" s="17"/>
      <c r="F59" s="18"/>
      <c r="G59" s="17"/>
      <c r="H59" s="17"/>
      <c r="I59" s="17"/>
      <c r="J59" s="17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20"/>
      <c r="V59" s="20"/>
      <c r="W59" s="20"/>
      <c r="X59" s="21"/>
    </row>
    <row r="60" ht="20" customHeight="1" spans="1:24">
      <c r="A60" s="16"/>
      <c r="B60" s="17"/>
      <c r="C60" s="17"/>
      <c r="D60" s="17"/>
      <c r="E60" s="17"/>
      <c r="F60" s="18"/>
      <c r="G60" s="17"/>
      <c r="H60" s="17"/>
      <c r="I60" s="17"/>
      <c r="J60" s="17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0"/>
      <c r="V60" s="20"/>
      <c r="W60" s="20"/>
      <c r="X60" s="21"/>
    </row>
    <row r="61" ht="20" customHeight="1" spans="1:24">
      <c r="A61" s="16"/>
      <c r="B61" s="17"/>
      <c r="C61" s="17"/>
      <c r="D61" s="17"/>
      <c r="E61" s="17"/>
      <c r="F61" s="18"/>
      <c r="G61" s="17"/>
      <c r="H61" s="17"/>
      <c r="I61" s="17"/>
      <c r="J61" s="17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20"/>
      <c r="V61" s="20"/>
      <c r="W61" s="20"/>
      <c r="X61" s="21"/>
    </row>
    <row r="62" ht="20" customHeight="1" spans="1:24">
      <c r="A62" s="16"/>
      <c r="B62" s="17"/>
      <c r="C62" s="17"/>
      <c r="D62" s="17"/>
      <c r="E62" s="17"/>
      <c r="F62" s="18"/>
      <c r="G62" s="17"/>
      <c r="H62" s="17"/>
      <c r="I62" s="17"/>
      <c r="J62" s="17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20"/>
      <c r="V62" s="20"/>
      <c r="W62" s="20"/>
      <c r="X62" s="21"/>
    </row>
    <row r="63" ht="20" customHeight="1" spans="1:24">
      <c r="A63" s="16"/>
      <c r="B63" s="17"/>
      <c r="C63" s="17"/>
      <c r="D63" s="17"/>
      <c r="E63" s="17"/>
      <c r="F63" s="18"/>
      <c r="G63" s="17"/>
      <c r="H63" s="17"/>
      <c r="I63" s="17"/>
      <c r="J63" s="17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20"/>
      <c r="V63" s="20"/>
      <c r="W63" s="20"/>
      <c r="X63" s="21"/>
    </row>
    <row r="64" ht="20" customHeight="1" spans="1:24">
      <c r="A64" s="16"/>
      <c r="B64" s="17"/>
      <c r="C64" s="17"/>
      <c r="D64" s="17"/>
      <c r="E64" s="17"/>
      <c r="F64" s="18"/>
      <c r="G64" s="17"/>
      <c r="H64" s="17"/>
      <c r="I64" s="17"/>
      <c r="J64" s="17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20"/>
      <c r="V64" s="20"/>
      <c r="W64" s="20"/>
      <c r="X64" s="21"/>
    </row>
    <row r="65" ht="20" customHeight="1" spans="1:24">
      <c r="A65" s="16"/>
      <c r="B65" s="17"/>
      <c r="C65" s="17"/>
      <c r="D65" s="17"/>
      <c r="E65" s="17"/>
      <c r="F65" s="18"/>
      <c r="G65" s="17"/>
      <c r="H65" s="17"/>
      <c r="I65" s="17"/>
      <c r="J65" s="17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20"/>
      <c r="V65" s="20"/>
      <c r="W65" s="20"/>
      <c r="X65" s="21"/>
    </row>
    <row r="66" ht="20" customHeight="1" spans="1:24">
      <c r="A66" s="16"/>
      <c r="B66" s="17"/>
      <c r="C66" s="17"/>
      <c r="D66" s="17"/>
      <c r="E66" s="17"/>
      <c r="F66" s="18"/>
      <c r="G66" s="17"/>
      <c r="H66" s="17"/>
      <c r="I66" s="17"/>
      <c r="J66" s="17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20"/>
      <c r="W66" s="20"/>
      <c r="X66" s="21"/>
    </row>
    <row r="67" ht="20" customHeight="1" spans="1:24">
      <c r="A67" s="16"/>
      <c r="B67" s="17"/>
      <c r="C67" s="17"/>
      <c r="D67" s="17"/>
      <c r="E67" s="17"/>
      <c r="F67" s="18"/>
      <c r="G67" s="17"/>
      <c r="H67" s="17"/>
      <c r="I67" s="17"/>
      <c r="J67" s="17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20"/>
      <c r="V67" s="20"/>
      <c r="W67" s="20"/>
      <c r="X67" s="21"/>
    </row>
    <row r="68" ht="20" customHeight="1" spans="1:24">
      <c r="A68" s="16"/>
      <c r="B68" s="17"/>
      <c r="C68" s="17"/>
      <c r="D68" s="17"/>
      <c r="E68" s="17"/>
      <c r="F68" s="18"/>
      <c r="G68" s="17"/>
      <c r="H68" s="17"/>
      <c r="I68" s="17"/>
      <c r="J68" s="17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20"/>
      <c r="V68" s="20"/>
      <c r="W68" s="20"/>
      <c r="X68" s="21"/>
    </row>
    <row r="69" ht="20" customHeight="1" spans="1:24">
      <c r="A69" s="16"/>
      <c r="B69" s="17"/>
      <c r="C69" s="17"/>
      <c r="D69" s="17"/>
      <c r="E69" s="17"/>
      <c r="F69" s="18"/>
      <c r="G69" s="17"/>
      <c r="H69" s="17"/>
      <c r="I69" s="17"/>
      <c r="J69" s="17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20"/>
      <c r="V69" s="20"/>
      <c r="W69" s="20"/>
      <c r="X69" s="21"/>
    </row>
    <row r="70" ht="20" customHeight="1" spans="1:24">
      <c r="A70" s="16"/>
      <c r="B70" s="17"/>
      <c r="C70" s="17"/>
      <c r="D70" s="17"/>
      <c r="E70" s="17"/>
      <c r="F70" s="18"/>
      <c r="G70" s="17"/>
      <c r="H70" s="17"/>
      <c r="I70" s="17"/>
      <c r="J70" s="17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20"/>
      <c r="V70" s="20"/>
      <c r="W70" s="20"/>
      <c r="X70" s="21"/>
    </row>
    <row r="71" ht="20" customHeight="1" spans="1:24">
      <c r="A71" s="16"/>
      <c r="B71" s="17"/>
      <c r="C71" s="17"/>
      <c r="D71" s="17"/>
      <c r="E71" s="17"/>
      <c r="F71" s="18"/>
      <c r="G71" s="17"/>
      <c r="H71" s="17"/>
      <c r="I71" s="17"/>
      <c r="J71" s="17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20"/>
      <c r="V71" s="20"/>
      <c r="W71" s="20"/>
      <c r="X71" s="21"/>
    </row>
    <row r="72" ht="20" customHeight="1" spans="1:24">
      <c r="A72" s="16"/>
      <c r="B72" s="17"/>
      <c r="C72" s="17"/>
      <c r="D72" s="17"/>
      <c r="E72" s="17"/>
      <c r="F72" s="18"/>
      <c r="G72" s="17"/>
      <c r="H72" s="17"/>
      <c r="I72" s="17"/>
      <c r="J72" s="17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20"/>
      <c r="V72" s="20"/>
      <c r="W72" s="20"/>
      <c r="X72" s="21"/>
    </row>
    <row r="73" ht="20" customHeight="1" spans="1:24">
      <c r="A73" s="16"/>
      <c r="B73" s="17"/>
      <c r="C73" s="17"/>
      <c r="D73" s="17"/>
      <c r="E73" s="17"/>
      <c r="F73" s="18"/>
      <c r="G73" s="17"/>
      <c r="H73" s="17"/>
      <c r="I73" s="17"/>
      <c r="J73" s="17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20"/>
      <c r="V73" s="20"/>
      <c r="W73" s="20"/>
      <c r="X73" s="21"/>
    </row>
    <row r="74" ht="20" customHeight="1" spans="1:24">
      <c r="A74" s="16"/>
      <c r="B74" s="17"/>
      <c r="C74" s="17"/>
      <c r="D74" s="17"/>
      <c r="E74" s="17"/>
      <c r="F74" s="18"/>
      <c r="G74" s="17"/>
      <c r="H74" s="17"/>
      <c r="I74" s="17"/>
      <c r="J74" s="17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20"/>
      <c r="V74" s="20"/>
      <c r="W74" s="20"/>
      <c r="X74" s="21"/>
    </row>
    <row r="75" ht="20" customHeight="1" spans="1:24">
      <c r="A75" s="16"/>
      <c r="B75" s="17"/>
      <c r="C75" s="17"/>
      <c r="D75" s="17"/>
      <c r="E75" s="17"/>
      <c r="F75" s="18"/>
      <c r="G75" s="17"/>
      <c r="H75" s="17"/>
      <c r="I75" s="17"/>
      <c r="J75" s="17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20"/>
      <c r="V75" s="20"/>
      <c r="W75" s="20"/>
      <c r="X75" s="21"/>
    </row>
    <row r="76" ht="20" customHeight="1" spans="1:24">
      <c r="A76" s="16"/>
      <c r="B76" s="17"/>
      <c r="C76" s="17"/>
      <c r="D76" s="17"/>
      <c r="E76" s="17"/>
      <c r="F76" s="18"/>
      <c r="G76" s="17"/>
      <c r="H76" s="17"/>
      <c r="I76" s="17"/>
      <c r="J76" s="17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20"/>
      <c r="V76" s="20"/>
      <c r="W76" s="20"/>
      <c r="X76" s="21"/>
    </row>
    <row r="77" ht="20" customHeight="1" spans="1:24">
      <c r="A77" s="16"/>
      <c r="B77" s="17"/>
      <c r="C77" s="17"/>
      <c r="D77" s="17"/>
      <c r="E77" s="17"/>
      <c r="F77" s="18"/>
      <c r="G77" s="17"/>
      <c r="H77" s="17"/>
      <c r="I77" s="17"/>
      <c r="J77" s="17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20"/>
      <c r="V77" s="20"/>
      <c r="W77" s="20"/>
      <c r="X77" s="21"/>
    </row>
    <row r="78" ht="20" customHeight="1" spans="1:24">
      <c r="A78" s="16"/>
      <c r="B78" s="17"/>
      <c r="C78" s="17"/>
      <c r="D78" s="17"/>
      <c r="E78" s="17"/>
      <c r="F78" s="18"/>
      <c r="G78" s="17"/>
      <c r="H78" s="17"/>
      <c r="I78" s="17"/>
      <c r="J78" s="17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20"/>
      <c r="V78" s="20"/>
      <c r="W78" s="20"/>
      <c r="X78" s="21"/>
    </row>
    <row r="79" ht="20" customHeight="1" spans="1:24">
      <c r="A79" s="16"/>
      <c r="B79" s="17"/>
      <c r="C79" s="17"/>
      <c r="D79" s="17"/>
      <c r="E79" s="17"/>
      <c r="F79" s="18"/>
      <c r="G79" s="17"/>
      <c r="H79" s="17"/>
      <c r="I79" s="17"/>
      <c r="J79" s="17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20"/>
      <c r="V79" s="20"/>
      <c r="W79" s="20"/>
      <c r="X79" s="21"/>
    </row>
    <row r="80" ht="20" customHeight="1" spans="1:24">
      <c r="A80" s="16"/>
      <c r="B80" s="17"/>
      <c r="C80" s="17"/>
      <c r="D80" s="17"/>
      <c r="E80" s="17"/>
      <c r="F80" s="18"/>
      <c r="G80" s="17"/>
      <c r="H80" s="17"/>
      <c r="I80" s="17"/>
      <c r="J80" s="17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20"/>
      <c r="V80" s="20"/>
      <c r="W80" s="20"/>
      <c r="X80" s="21"/>
    </row>
    <row r="81" ht="20" customHeight="1" spans="1:24">
      <c r="A81" s="16"/>
      <c r="B81" s="17"/>
      <c r="C81" s="17"/>
      <c r="D81" s="17"/>
      <c r="E81" s="17"/>
      <c r="F81" s="18"/>
      <c r="G81" s="17"/>
      <c r="H81" s="17"/>
      <c r="I81" s="17"/>
      <c r="J81" s="17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20"/>
      <c r="V81" s="20"/>
      <c r="W81" s="20"/>
      <c r="X81" s="21"/>
    </row>
    <row r="82" ht="20" customHeight="1" spans="1:24">
      <c r="A82" s="16"/>
      <c r="B82" s="17"/>
      <c r="C82" s="17"/>
      <c r="D82" s="17"/>
      <c r="E82" s="17"/>
      <c r="F82" s="18"/>
      <c r="G82" s="17"/>
      <c r="H82" s="17"/>
      <c r="I82" s="17"/>
      <c r="J82" s="17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20"/>
      <c r="V82" s="20"/>
      <c r="W82" s="20"/>
      <c r="X82" s="21"/>
    </row>
    <row r="83" ht="20" customHeight="1" spans="1:24">
      <c r="A83" s="16"/>
      <c r="B83" s="17"/>
      <c r="C83" s="17"/>
      <c r="D83" s="17"/>
      <c r="E83" s="17"/>
      <c r="F83" s="18"/>
      <c r="G83" s="17"/>
      <c r="H83" s="17"/>
      <c r="I83" s="17"/>
      <c r="J83" s="17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20"/>
      <c r="V83" s="20"/>
      <c r="W83" s="20"/>
      <c r="X83" s="21"/>
    </row>
    <row r="84" ht="20" customHeight="1" spans="1:24">
      <c r="A84" s="16"/>
      <c r="B84" s="17"/>
      <c r="C84" s="17"/>
      <c r="D84" s="17"/>
      <c r="E84" s="17"/>
      <c r="F84" s="18"/>
      <c r="G84" s="17"/>
      <c r="H84" s="17"/>
      <c r="I84" s="17"/>
      <c r="J84" s="17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20"/>
      <c r="V84" s="20"/>
      <c r="W84" s="20"/>
      <c r="X84" s="21"/>
    </row>
    <row r="85" ht="20" customHeight="1" spans="1:24">
      <c r="A85" s="16"/>
      <c r="B85" s="17"/>
      <c r="C85" s="17"/>
      <c r="D85" s="17"/>
      <c r="E85" s="17"/>
      <c r="F85" s="18"/>
      <c r="G85" s="17"/>
      <c r="H85" s="17"/>
      <c r="I85" s="17"/>
      <c r="J85" s="17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20"/>
      <c r="V85" s="20"/>
      <c r="W85" s="20"/>
      <c r="X85" s="21"/>
    </row>
    <row r="86" ht="20" customHeight="1" spans="1:24">
      <c r="A86" s="16"/>
      <c r="B86" s="17"/>
      <c r="C86" s="17"/>
      <c r="D86" s="17"/>
      <c r="E86" s="17"/>
      <c r="F86" s="18"/>
      <c r="G86" s="17"/>
      <c r="H86" s="17"/>
      <c r="I86" s="17"/>
      <c r="J86" s="17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20"/>
      <c r="V86" s="20"/>
      <c r="W86" s="20"/>
      <c r="X86" s="21"/>
    </row>
    <row r="87" ht="20" customHeight="1" spans="1:24">
      <c r="A87" s="16"/>
      <c r="B87" s="17"/>
      <c r="C87" s="17"/>
      <c r="D87" s="17"/>
      <c r="E87" s="17"/>
      <c r="F87" s="18"/>
      <c r="G87" s="17"/>
      <c r="H87" s="17"/>
      <c r="I87" s="17"/>
      <c r="J87" s="17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20"/>
      <c r="V87" s="20"/>
      <c r="W87" s="20"/>
      <c r="X87" s="21"/>
    </row>
    <row r="88" ht="20" customHeight="1" spans="1:24">
      <c r="A88" s="16"/>
      <c r="B88" s="17"/>
      <c r="C88" s="17"/>
      <c r="D88" s="17"/>
      <c r="E88" s="17"/>
      <c r="F88" s="18"/>
      <c r="G88" s="17"/>
      <c r="H88" s="17"/>
      <c r="I88" s="17"/>
      <c r="J88" s="17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20"/>
      <c r="V88" s="20"/>
      <c r="W88" s="20"/>
      <c r="X88" s="21"/>
    </row>
    <row r="89" ht="20" customHeight="1" spans="1:24">
      <c r="A89" s="16"/>
      <c r="B89" s="17"/>
      <c r="C89" s="17"/>
      <c r="D89" s="17"/>
      <c r="E89" s="17"/>
      <c r="F89" s="18"/>
      <c r="G89" s="17"/>
      <c r="H89" s="17"/>
      <c r="I89" s="17"/>
      <c r="J89" s="17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20"/>
      <c r="V89" s="20"/>
      <c r="W89" s="20"/>
      <c r="X89" s="21"/>
    </row>
    <row r="90" ht="20" customHeight="1" spans="1:24">
      <c r="A90" s="16"/>
      <c r="B90" s="17"/>
      <c r="C90" s="17"/>
      <c r="D90" s="17"/>
      <c r="E90" s="17"/>
      <c r="F90" s="18"/>
      <c r="G90" s="17"/>
      <c r="H90" s="17"/>
      <c r="I90" s="17"/>
      <c r="J90" s="17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20"/>
      <c r="V90" s="20"/>
      <c r="W90" s="20"/>
      <c r="X90" s="21"/>
    </row>
    <row r="91" ht="20" customHeight="1" spans="1:24">
      <c r="A91" s="16"/>
      <c r="B91" s="17"/>
      <c r="C91" s="17"/>
      <c r="D91" s="17"/>
      <c r="E91" s="17"/>
      <c r="F91" s="18"/>
      <c r="G91" s="17"/>
      <c r="H91" s="17"/>
      <c r="I91" s="17"/>
      <c r="J91" s="17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20"/>
      <c r="V91" s="20"/>
      <c r="W91" s="20"/>
      <c r="X91" s="21"/>
    </row>
    <row r="92" ht="20" customHeight="1" spans="1:24">
      <c r="A92" s="16"/>
      <c r="B92" s="17"/>
      <c r="C92" s="17"/>
      <c r="D92" s="17"/>
      <c r="E92" s="17"/>
      <c r="F92" s="18"/>
      <c r="G92" s="17"/>
      <c r="H92" s="17"/>
      <c r="I92" s="17"/>
      <c r="J92" s="17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20"/>
      <c r="V92" s="20"/>
      <c r="W92" s="20"/>
      <c r="X92" s="21"/>
    </row>
    <row r="93" ht="20" customHeight="1" spans="1:24">
      <c r="A93" s="16"/>
      <c r="B93" s="17"/>
      <c r="C93" s="17"/>
      <c r="D93" s="17"/>
      <c r="E93" s="17"/>
      <c r="F93" s="18"/>
      <c r="G93" s="17"/>
      <c r="H93" s="17"/>
      <c r="I93" s="17"/>
      <c r="J93" s="17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20"/>
      <c r="V93" s="20"/>
      <c r="W93" s="20"/>
      <c r="X93" s="21"/>
    </row>
    <row r="94" ht="20" customHeight="1" spans="1:24">
      <c r="A94" s="16"/>
      <c r="B94" s="17"/>
      <c r="C94" s="17"/>
      <c r="D94" s="17"/>
      <c r="E94" s="17"/>
      <c r="F94" s="18"/>
      <c r="G94" s="17"/>
      <c r="H94" s="17"/>
      <c r="I94" s="17"/>
      <c r="J94" s="17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20"/>
      <c r="V94" s="20"/>
      <c r="W94" s="20"/>
      <c r="X94" s="21"/>
    </row>
    <row r="95" ht="20" customHeight="1" spans="1:24">
      <c r="A95" s="16"/>
      <c r="B95" s="17"/>
      <c r="C95" s="17"/>
      <c r="D95" s="17"/>
      <c r="E95" s="17"/>
      <c r="F95" s="18"/>
      <c r="G95" s="17"/>
      <c r="H95" s="17"/>
      <c r="I95" s="17"/>
      <c r="J95" s="17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20"/>
      <c r="V95" s="20"/>
      <c r="W95" s="20"/>
      <c r="X95" s="21"/>
    </row>
    <row r="96" ht="20" customHeight="1" spans="1:24">
      <c r="A96" s="16"/>
      <c r="B96" s="17"/>
      <c r="C96" s="17"/>
      <c r="D96" s="17"/>
      <c r="E96" s="17"/>
      <c r="F96" s="18"/>
      <c r="G96" s="17"/>
      <c r="H96" s="17"/>
      <c r="I96" s="17"/>
      <c r="J96" s="17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20"/>
      <c r="V96" s="20"/>
      <c r="W96" s="20"/>
      <c r="X96" s="21"/>
    </row>
    <row r="97" ht="20" customHeight="1" spans="1:24">
      <c r="A97" s="16"/>
      <c r="B97" s="17"/>
      <c r="C97" s="17"/>
      <c r="D97" s="17"/>
      <c r="E97" s="17"/>
      <c r="F97" s="18"/>
      <c r="G97" s="17"/>
      <c r="H97" s="17"/>
      <c r="I97" s="17"/>
      <c r="J97" s="17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20"/>
      <c r="V97" s="20"/>
      <c r="W97" s="20"/>
      <c r="X97" s="21"/>
    </row>
    <row r="98" ht="20" customHeight="1" spans="1:24">
      <c r="A98" s="16"/>
      <c r="B98" s="17"/>
      <c r="C98" s="17"/>
      <c r="D98" s="17"/>
      <c r="E98" s="17"/>
      <c r="F98" s="18"/>
      <c r="G98" s="17"/>
      <c r="H98" s="17"/>
      <c r="I98" s="17"/>
      <c r="J98" s="17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20"/>
      <c r="V98" s="20"/>
      <c r="W98" s="20"/>
      <c r="X98" s="21"/>
    </row>
    <row r="99" ht="20" customHeight="1" spans="1:24">
      <c r="A99" s="16"/>
      <c r="B99" s="17"/>
      <c r="C99" s="17"/>
      <c r="D99" s="17"/>
      <c r="E99" s="17"/>
      <c r="F99" s="18"/>
      <c r="G99" s="17"/>
      <c r="H99" s="17"/>
      <c r="I99" s="17"/>
      <c r="J99" s="17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20"/>
      <c r="V99" s="20"/>
      <c r="W99" s="20"/>
      <c r="X99" s="21"/>
    </row>
    <row r="100" ht="20" customHeight="1" spans="1:24">
      <c r="A100" s="16"/>
      <c r="B100" s="17"/>
      <c r="C100" s="17"/>
      <c r="D100" s="17"/>
      <c r="E100" s="17"/>
      <c r="F100" s="18"/>
      <c r="G100" s="17"/>
      <c r="H100" s="17"/>
      <c r="I100" s="17"/>
      <c r="J100" s="17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20"/>
      <c r="V100" s="20"/>
      <c r="W100" s="20"/>
      <c r="X100" s="21"/>
    </row>
    <row r="101" ht="20" customHeight="1" spans="1:24">
      <c r="A101" s="16"/>
      <c r="B101" s="17"/>
      <c r="C101" s="17"/>
      <c r="D101" s="17"/>
      <c r="E101" s="17"/>
      <c r="F101" s="18"/>
      <c r="G101" s="17"/>
      <c r="H101" s="17"/>
      <c r="I101" s="17"/>
      <c r="J101" s="17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20"/>
      <c r="V101" s="20"/>
      <c r="W101" s="20"/>
      <c r="X101" s="21"/>
    </row>
    <row r="102" ht="20" customHeight="1" spans="1:24">
      <c r="A102" s="16"/>
      <c r="B102" s="17"/>
      <c r="C102" s="17"/>
      <c r="D102" s="17"/>
      <c r="E102" s="17"/>
      <c r="F102" s="18"/>
      <c r="G102" s="17"/>
      <c r="H102" s="17"/>
      <c r="I102" s="17"/>
      <c r="J102" s="17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20"/>
      <c r="V102" s="20"/>
      <c r="W102" s="20"/>
      <c r="X102" s="21"/>
    </row>
    <row r="103" ht="20" customHeight="1" spans="1:24">
      <c r="A103" s="16"/>
      <c r="B103" s="17"/>
      <c r="C103" s="17"/>
      <c r="D103" s="17"/>
      <c r="E103" s="17"/>
      <c r="F103" s="18"/>
      <c r="G103" s="17"/>
      <c r="H103" s="17"/>
      <c r="I103" s="17"/>
      <c r="J103" s="17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20"/>
      <c r="V103" s="20"/>
      <c r="W103" s="20"/>
      <c r="X103" s="21"/>
    </row>
    <row r="104" ht="20" customHeight="1" spans="1:24">
      <c r="A104" s="16"/>
      <c r="B104" s="17"/>
      <c r="C104" s="17"/>
      <c r="D104" s="17"/>
      <c r="E104" s="17"/>
      <c r="F104" s="18"/>
      <c r="G104" s="17"/>
      <c r="H104" s="17"/>
      <c r="I104" s="17"/>
      <c r="J104" s="17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20"/>
      <c r="V104" s="20"/>
      <c r="W104" s="20"/>
      <c r="X104" s="21"/>
    </row>
    <row r="105" ht="20" customHeight="1" spans="1:24">
      <c r="A105" s="16"/>
      <c r="B105" s="17"/>
      <c r="C105" s="17"/>
      <c r="D105" s="17"/>
      <c r="E105" s="17"/>
      <c r="F105" s="18"/>
      <c r="G105" s="17"/>
      <c r="H105" s="17"/>
      <c r="I105" s="17"/>
      <c r="J105" s="17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20"/>
      <c r="V105" s="20"/>
      <c r="W105" s="20"/>
      <c r="X105" s="21"/>
    </row>
    <row r="106" ht="20" customHeight="1" spans="1:24">
      <c r="A106" s="16"/>
      <c r="B106" s="17"/>
      <c r="C106" s="17"/>
      <c r="D106" s="17"/>
      <c r="E106" s="17"/>
      <c r="F106" s="18"/>
      <c r="G106" s="17"/>
      <c r="H106" s="17"/>
      <c r="I106" s="17"/>
      <c r="J106" s="17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20"/>
      <c r="V106" s="20"/>
      <c r="W106" s="20"/>
      <c r="X106" s="21"/>
    </row>
    <row r="107" ht="20" customHeight="1" spans="1:24">
      <c r="A107" s="16"/>
      <c r="B107" s="17"/>
      <c r="C107" s="17"/>
      <c r="D107" s="17"/>
      <c r="E107" s="17"/>
      <c r="F107" s="18"/>
      <c r="G107" s="17"/>
      <c r="H107" s="17"/>
      <c r="I107" s="17"/>
      <c r="J107" s="17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20"/>
      <c r="V107" s="20"/>
      <c r="W107" s="20"/>
      <c r="X107" s="21"/>
    </row>
    <row r="108" ht="20" customHeight="1" spans="1:24">
      <c r="A108" s="16"/>
      <c r="B108" s="17"/>
      <c r="C108" s="17"/>
      <c r="D108" s="17"/>
      <c r="E108" s="17"/>
      <c r="F108" s="18"/>
      <c r="G108" s="17"/>
      <c r="H108" s="17"/>
      <c r="I108" s="17"/>
      <c r="J108" s="17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20"/>
      <c r="V108" s="20"/>
      <c r="W108" s="20"/>
      <c r="X108" s="21"/>
    </row>
    <row r="109" ht="20" customHeight="1" spans="1:24">
      <c r="A109" s="16"/>
      <c r="B109" s="17"/>
      <c r="C109" s="17"/>
      <c r="D109" s="17"/>
      <c r="E109" s="17"/>
      <c r="F109" s="18"/>
      <c r="G109" s="17"/>
      <c r="H109" s="17"/>
      <c r="I109" s="17"/>
      <c r="J109" s="17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20"/>
      <c r="V109" s="20"/>
      <c r="W109" s="20"/>
      <c r="X109" s="21"/>
    </row>
    <row r="110" ht="20" customHeight="1" spans="1:24">
      <c r="A110" s="16"/>
      <c r="B110" s="17"/>
      <c r="C110" s="17"/>
      <c r="D110" s="17"/>
      <c r="E110" s="17"/>
      <c r="F110" s="18"/>
      <c r="G110" s="17"/>
      <c r="H110" s="17"/>
      <c r="I110" s="17"/>
      <c r="J110" s="17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20"/>
      <c r="V110" s="20"/>
      <c r="W110" s="20"/>
      <c r="X110" s="21"/>
    </row>
    <row r="111" ht="20" customHeight="1" spans="1:24">
      <c r="A111" s="16"/>
      <c r="B111" s="17"/>
      <c r="C111" s="17"/>
      <c r="D111" s="17"/>
      <c r="E111" s="17"/>
      <c r="F111" s="18"/>
      <c r="G111" s="17"/>
      <c r="H111" s="17"/>
      <c r="I111" s="17"/>
      <c r="J111" s="17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20"/>
      <c r="V111" s="20"/>
      <c r="W111" s="20"/>
      <c r="X111" s="21"/>
    </row>
    <row r="112" ht="20" customHeight="1" spans="1:24">
      <c r="A112" s="16"/>
      <c r="B112" s="17"/>
      <c r="C112" s="17"/>
      <c r="D112" s="17"/>
      <c r="E112" s="17"/>
      <c r="F112" s="18"/>
      <c r="G112" s="17"/>
      <c r="H112" s="17"/>
      <c r="I112" s="17"/>
      <c r="J112" s="17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20"/>
      <c r="V112" s="20"/>
      <c r="W112" s="20"/>
      <c r="X112" s="21"/>
    </row>
    <row r="113" ht="20" customHeight="1" spans="1:24">
      <c r="A113" s="16"/>
      <c r="B113" s="17"/>
      <c r="C113" s="17"/>
      <c r="D113" s="17"/>
      <c r="E113" s="17"/>
      <c r="F113" s="18"/>
      <c r="G113" s="17"/>
      <c r="H113" s="17"/>
      <c r="I113" s="17"/>
      <c r="J113" s="17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20"/>
      <c r="V113" s="20"/>
      <c r="W113" s="20"/>
      <c r="X113" s="21"/>
    </row>
    <row r="114" ht="20" customHeight="1" spans="1:24">
      <c r="A114" s="16"/>
      <c r="B114" s="17"/>
      <c r="C114" s="17"/>
      <c r="D114" s="17"/>
      <c r="E114" s="17"/>
      <c r="F114" s="18"/>
      <c r="G114" s="17"/>
      <c r="H114" s="17"/>
      <c r="I114" s="17"/>
      <c r="J114" s="17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20"/>
      <c r="V114" s="20"/>
      <c r="W114" s="20"/>
      <c r="X114" s="21"/>
    </row>
    <row r="115" ht="20" customHeight="1" spans="1:24">
      <c r="A115" s="16"/>
      <c r="B115" s="17"/>
      <c r="C115" s="17"/>
      <c r="D115" s="17"/>
      <c r="E115" s="17"/>
      <c r="F115" s="18"/>
      <c r="G115" s="17"/>
      <c r="H115" s="17"/>
      <c r="I115" s="17"/>
      <c r="J115" s="17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20"/>
      <c r="V115" s="20"/>
      <c r="W115" s="20"/>
      <c r="X115" s="21"/>
    </row>
    <row r="116" ht="20" customHeight="1" spans="1:24">
      <c r="A116" s="16"/>
      <c r="B116" s="17"/>
      <c r="C116" s="17"/>
      <c r="D116" s="17"/>
      <c r="E116" s="17"/>
      <c r="F116" s="18"/>
      <c r="G116" s="17"/>
      <c r="H116" s="17"/>
      <c r="I116" s="17"/>
      <c r="J116" s="17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20"/>
      <c r="V116" s="20"/>
      <c r="W116" s="20"/>
      <c r="X116" s="21"/>
    </row>
    <row r="117" ht="20" customHeight="1" spans="1:24">
      <c r="A117" s="16"/>
      <c r="B117" s="17"/>
      <c r="C117" s="17"/>
      <c r="D117" s="17"/>
      <c r="E117" s="17"/>
      <c r="F117" s="18"/>
      <c r="G117" s="17"/>
      <c r="H117" s="17"/>
      <c r="I117" s="17"/>
      <c r="J117" s="17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20"/>
      <c r="V117" s="20"/>
      <c r="W117" s="20"/>
      <c r="X117" s="21"/>
    </row>
    <row r="118" ht="20" customHeight="1" spans="1:24">
      <c r="A118" s="16"/>
      <c r="B118" s="17"/>
      <c r="C118" s="17"/>
      <c r="D118" s="17"/>
      <c r="E118" s="17"/>
      <c r="F118" s="18"/>
      <c r="G118" s="17"/>
      <c r="H118" s="17"/>
      <c r="I118" s="17"/>
      <c r="J118" s="17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20"/>
      <c r="V118" s="20"/>
      <c r="W118" s="20"/>
      <c r="X118" s="21"/>
    </row>
    <row r="119" ht="20" customHeight="1" spans="1:24">
      <c r="A119" s="16"/>
      <c r="B119" s="17"/>
      <c r="C119" s="17"/>
      <c r="D119" s="17"/>
      <c r="E119" s="17"/>
      <c r="F119" s="18"/>
      <c r="G119" s="17"/>
      <c r="H119" s="17"/>
      <c r="I119" s="17"/>
      <c r="J119" s="17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20"/>
      <c r="V119" s="20"/>
      <c r="W119" s="20"/>
      <c r="X119" s="21"/>
    </row>
    <row r="120" ht="20" customHeight="1" spans="1:24">
      <c r="A120" s="16"/>
      <c r="B120" s="17"/>
      <c r="C120" s="17"/>
      <c r="D120" s="17"/>
      <c r="E120" s="17"/>
      <c r="F120" s="18"/>
      <c r="G120" s="17"/>
      <c r="H120" s="17"/>
      <c r="I120" s="17"/>
      <c r="J120" s="17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20"/>
      <c r="V120" s="20"/>
      <c r="W120" s="20"/>
      <c r="X120" s="21"/>
    </row>
    <row r="121" ht="20" customHeight="1" spans="1:24">
      <c r="A121" s="16"/>
      <c r="B121" s="17"/>
      <c r="C121" s="17"/>
      <c r="D121" s="17"/>
      <c r="E121" s="17"/>
      <c r="F121" s="18"/>
      <c r="G121" s="17"/>
      <c r="H121" s="17"/>
      <c r="I121" s="17"/>
      <c r="J121" s="17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20"/>
      <c r="V121" s="20"/>
      <c r="W121" s="20"/>
      <c r="X121" s="21"/>
    </row>
    <row r="122" ht="20" customHeight="1" spans="1:24">
      <c r="A122" s="16"/>
      <c r="B122" s="17"/>
      <c r="C122" s="17"/>
      <c r="D122" s="17"/>
      <c r="E122" s="17"/>
      <c r="F122" s="18"/>
      <c r="G122" s="17"/>
      <c r="H122" s="17"/>
      <c r="I122" s="17"/>
      <c r="J122" s="17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20"/>
      <c r="V122" s="20"/>
      <c r="W122" s="20"/>
      <c r="X122" s="21"/>
    </row>
    <row r="123" ht="20" customHeight="1" spans="1:24">
      <c r="A123" s="16"/>
      <c r="B123" s="17"/>
      <c r="C123" s="17"/>
      <c r="D123" s="17"/>
      <c r="E123" s="17"/>
      <c r="F123" s="18"/>
      <c r="G123" s="17"/>
      <c r="H123" s="17"/>
      <c r="I123" s="17"/>
      <c r="J123" s="17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20"/>
      <c r="V123" s="20"/>
      <c r="W123" s="20"/>
      <c r="X123" s="21"/>
    </row>
    <row r="124" ht="20" customHeight="1" spans="1:24">
      <c r="A124" s="16"/>
      <c r="B124" s="17"/>
      <c r="C124" s="17"/>
      <c r="D124" s="17"/>
      <c r="E124" s="17"/>
      <c r="F124" s="18"/>
      <c r="G124" s="17"/>
      <c r="H124" s="17"/>
      <c r="I124" s="17"/>
      <c r="J124" s="17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20"/>
      <c r="V124" s="20"/>
      <c r="W124" s="20"/>
      <c r="X124" s="21"/>
    </row>
    <row r="125" ht="20" customHeight="1" spans="1:24">
      <c r="A125" s="16"/>
      <c r="B125" s="17"/>
      <c r="C125" s="17"/>
      <c r="D125" s="17"/>
      <c r="E125" s="17"/>
      <c r="F125" s="18"/>
      <c r="G125" s="17"/>
      <c r="H125" s="17"/>
      <c r="I125" s="17"/>
      <c r="J125" s="17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20"/>
      <c r="V125" s="20"/>
      <c r="W125" s="20"/>
      <c r="X125" s="21"/>
    </row>
    <row r="126" ht="20" customHeight="1" spans="1:24">
      <c r="A126" s="16"/>
      <c r="B126" s="17"/>
      <c r="C126" s="17"/>
      <c r="D126" s="17"/>
      <c r="E126" s="17"/>
      <c r="F126" s="18"/>
      <c r="G126" s="17"/>
      <c r="H126" s="17"/>
      <c r="I126" s="17"/>
      <c r="J126" s="17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20"/>
      <c r="V126" s="20"/>
      <c r="W126" s="20"/>
      <c r="X126" s="21"/>
    </row>
    <row r="127" ht="20" customHeight="1" spans="1:24">
      <c r="A127" s="16"/>
      <c r="B127" s="17"/>
      <c r="C127" s="17"/>
      <c r="D127" s="17"/>
      <c r="E127" s="17"/>
      <c r="F127" s="18"/>
      <c r="G127" s="17"/>
      <c r="H127" s="17"/>
      <c r="I127" s="17"/>
      <c r="J127" s="17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20"/>
      <c r="V127" s="20"/>
      <c r="W127" s="20"/>
      <c r="X127" s="21"/>
    </row>
    <row r="128" ht="20" customHeight="1" spans="1:24">
      <c r="A128" s="16"/>
      <c r="B128" s="17"/>
      <c r="C128" s="17"/>
      <c r="D128" s="17"/>
      <c r="E128" s="17"/>
      <c r="F128" s="18"/>
      <c r="G128" s="17"/>
      <c r="H128" s="17"/>
      <c r="I128" s="17"/>
      <c r="J128" s="17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20"/>
      <c r="V128" s="20"/>
      <c r="W128" s="20"/>
      <c r="X128" s="21"/>
    </row>
    <row r="129" ht="20" customHeight="1" spans="1:24">
      <c r="A129" s="16"/>
      <c r="B129" s="17"/>
      <c r="C129" s="17"/>
      <c r="D129" s="17"/>
      <c r="E129" s="17"/>
      <c r="F129" s="18"/>
      <c r="G129" s="17"/>
      <c r="H129" s="17"/>
      <c r="I129" s="17"/>
      <c r="J129" s="17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20"/>
      <c r="V129" s="20"/>
      <c r="W129" s="20"/>
      <c r="X129" s="21"/>
    </row>
    <row r="130" ht="20" customHeight="1" spans="1:24">
      <c r="A130" s="16"/>
      <c r="B130" s="17"/>
      <c r="C130" s="17"/>
      <c r="D130" s="17"/>
      <c r="E130" s="17"/>
      <c r="F130" s="18"/>
      <c r="G130" s="17"/>
      <c r="H130" s="17"/>
      <c r="I130" s="17"/>
      <c r="J130" s="17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20"/>
      <c r="V130" s="20"/>
      <c r="W130" s="20"/>
      <c r="X130" s="21"/>
    </row>
    <row r="131" ht="20" customHeight="1" spans="1:24">
      <c r="A131" s="16"/>
      <c r="B131" s="17"/>
      <c r="C131" s="17"/>
      <c r="D131" s="17"/>
      <c r="E131" s="17"/>
      <c r="F131" s="18"/>
      <c r="G131" s="17"/>
      <c r="H131" s="17"/>
      <c r="I131" s="17"/>
      <c r="J131" s="17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20"/>
      <c r="V131" s="20"/>
      <c r="W131" s="20"/>
      <c r="X131" s="21"/>
    </row>
    <row r="132" ht="20" customHeight="1" spans="1:24">
      <c r="A132" s="16"/>
      <c r="B132" s="17"/>
      <c r="C132" s="17"/>
      <c r="D132" s="17"/>
      <c r="E132" s="17"/>
      <c r="F132" s="18"/>
      <c r="G132" s="17"/>
      <c r="H132" s="17"/>
      <c r="I132" s="17"/>
      <c r="J132" s="17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20"/>
      <c r="V132" s="20"/>
      <c r="W132" s="20"/>
      <c r="X132" s="21"/>
    </row>
    <row r="133" ht="20" customHeight="1" spans="1:24">
      <c r="A133" s="16"/>
      <c r="B133" s="17"/>
      <c r="C133" s="17"/>
      <c r="D133" s="17"/>
      <c r="E133" s="17"/>
      <c r="F133" s="18"/>
      <c r="G133" s="17"/>
      <c r="H133" s="17"/>
      <c r="I133" s="17"/>
      <c r="J133" s="17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20"/>
      <c r="V133" s="20"/>
      <c r="W133" s="20"/>
      <c r="X133" s="21"/>
    </row>
    <row r="134" ht="20" customHeight="1" spans="1:24">
      <c r="A134" s="16"/>
      <c r="B134" s="17"/>
      <c r="C134" s="17"/>
      <c r="D134" s="17"/>
      <c r="E134" s="17"/>
      <c r="F134" s="18"/>
      <c r="G134" s="17"/>
      <c r="H134" s="17"/>
      <c r="I134" s="17"/>
      <c r="J134" s="17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20"/>
      <c r="V134" s="20"/>
      <c r="W134" s="20"/>
      <c r="X134" s="21"/>
    </row>
    <row r="135" ht="20" customHeight="1" spans="1:24">
      <c r="A135" s="16"/>
      <c r="B135" s="17"/>
      <c r="C135" s="17"/>
      <c r="D135" s="17"/>
      <c r="E135" s="17"/>
      <c r="F135" s="18"/>
      <c r="G135" s="17"/>
      <c r="H135" s="17"/>
      <c r="I135" s="17"/>
      <c r="J135" s="17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20"/>
      <c r="V135" s="20"/>
      <c r="W135" s="20"/>
      <c r="X135" s="21"/>
    </row>
    <row r="136" ht="20" customHeight="1" spans="1:24">
      <c r="A136" s="16"/>
      <c r="B136" s="17"/>
      <c r="C136" s="17"/>
      <c r="D136" s="17"/>
      <c r="E136" s="17"/>
      <c r="F136" s="18"/>
      <c r="G136" s="17"/>
      <c r="H136" s="17"/>
      <c r="I136" s="17"/>
      <c r="J136" s="17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20"/>
      <c r="V136" s="20"/>
      <c r="W136" s="20"/>
      <c r="X136" s="21"/>
    </row>
    <row r="137" ht="20" customHeight="1" spans="1:24">
      <c r="A137" s="16"/>
      <c r="B137" s="17"/>
      <c r="C137" s="17"/>
      <c r="D137" s="17"/>
      <c r="E137" s="17"/>
      <c r="F137" s="18"/>
      <c r="G137" s="17"/>
      <c r="H137" s="17"/>
      <c r="I137" s="17"/>
      <c r="J137" s="17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20"/>
      <c r="V137" s="20"/>
      <c r="W137" s="20"/>
      <c r="X137" s="21"/>
    </row>
    <row r="138" ht="20" customHeight="1" spans="1:24">
      <c r="A138" s="16"/>
      <c r="B138" s="17"/>
      <c r="C138" s="17"/>
      <c r="D138" s="17"/>
      <c r="E138" s="17"/>
      <c r="F138" s="18"/>
      <c r="G138" s="17"/>
      <c r="H138" s="17"/>
      <c r="I138" s="17"/>
      <c r="J138" s="17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20"/>
      <c r="V138" s="20"/>
      <c r="W138" s="20"/>
      <c r="X138" s="21"/>
    </row>
    <row r="139" ht="20" customHeight="1" spans="1:24">
      <c r="A139" s="16"/>
      <c r="B139" s="17"/>
      <c r="C139" s="17"/>
      <c r="D139" s="17"/>
      <c r="E139" s="17"/>
      <c r="F139" s="18"/>
      <c r="G139" s="17"/>
      <c r="H139" s="17"/>
      <c r="I139" s="17"/>
      <c r="J139" s="17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20"/>
      <c r="V139" s="20"/>
      <c r="W139" s="20"/>
      <c r="X139" s="21"/>
    </row>
    <row r="140" ht="20" customHeight="1" spans="1:24">
      <c r="A140" s="16"/>
      <c r="B140" s="17"/>
      <c r="C140" s="17"/>
      <c r="D140" s="17"/>
      <c r="E140" s="17"/>
      <c r="F140" s="18"/>
      <c r="G140" s="17"/>
      <c r="H140" s="17"/>
      <c r="I140" s="17"/>
      <c r="J140" s="17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20"/>
      <c r="V140" s="20"/>
      <c r="W140" s="20"/>
      <c r="X140" s="21"/>
    </row>
    <row r="141" ht="20" customHeight="1" spans="1:24">
      <c r="A141" s="16"/>
      <c r="B141" s="17"/>
      <c r="C141" s="17"/>
      <c r="D141" s="17"/>
      <c r="E141" s="17"/>
      <c r="F141" s="18"/>
      <c r="G141" s="17"/>
      <c r="H141" s="17"/>
      <c r="I141" s="17"/>
      <c r="J141" s="17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20"/>
      <c r="V141" s="20"/>
      <c r="W141" s="20"/>
      <c r="X141" s="21"/>
    </row>
    <row r="142" ht="20" customHeight="1" spans="1:24">
      <c r="A142" s="16"/>
      <c r="B142" s="17"/>
      <c r="C142" s="17"/>
      <c r="D142" s="17"/>
      <c r="E142" s="17"/>
      <c r="F142" s="18"/>
      <c r="G142" s="17"/>
      <c r="H142" s="17"/>
      <c r="I142" s="17"/>
      <c r="J142" s="17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20"/>
      <c r="V142" s="20"/>
      <c r="W142" s="20"/>
      <c r="X142" s="21"/>
    </row>
    <row r="143" ht="20" customHeight="1" spans="1:24">
      <c r="A143" s="16"/>
      <c r="B143" s="17"/>
      <c r="C143" s="17"/>
      <c r="D143" s="17"/>
      <c r="E143" s="17"/>
      <c r="F143" s="18"/>
      <c r="G143" s="17"/>
      <c r="H143" s="17"/>
      <c r="I143" s="17"/>
      <c r="J143" s="17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20"/>
      <c r="V143" s="20"/>
      <c r="W143" s="20"/>
      <c r="X143" s="21"/>
    </row>
    <row r="144" ht="20" customHeight="1" spans="1:24">
      <c r="A144" s="16"/>
      <c r="B144" s="17"/>
      <c r="C144" s="17"/>
      <c r="D144" s="17"/>
      <c r="E144" s="17"/>
      <c r="F144" s="18"/>
      <c r="G144" s="17"/>
      <c r="H144" s="17"/>
      <c r="I144" s="17"/>
      <c r="J144" s="17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20"/>
      <c r="V144" s="20"/>
      <c r="W144" s="20"/>
      <c r="X144" s="21"/>
    </row>
    <row r="145" ht="20" customHeight="1" spans="1:24">
      <c r="A145" s="16"/>
      <c r="B145" s="17"/>
      <c r="C145" s="17"/>
      <c r="D145" s="17"/>
      <c r="E145" s="17"/>
      <c r="F145" s="18"/>
      <c r="G145" s="17"/>
      <c r="H145" s="17"/>
      <c r="I145" s="17"/>
      <c r="J145" s="17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20"/>
      <c r="V145" s="20"/>
      <c r="W145" s="20"/>
      <c r="X145" s="21"/>
    </row>
    <row r="146" ht="20" customHeight="1" spans="1:24">
      <c r="A146" s="16"/>
      <c r="B146" s="17"/>
      <c r="C146" s="17"/>
      <c r="D146" s="17"/>
      <c r="E146" s="17"/>
      <c r="F146" s="18"/>
      <c r="G146" s="17"/>
      <c r="H146" s="17"/>
      <c r="I146" s="17"/>
      <c r="J146" s="17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20"/>
      <c r="V146" s="20"/>
      <c r="W146" s="20"/>
      <c r="X146" s="21"/>
    </row>
    <row r="147" ht="20" customHeight="1" spans="1:24">
      <c r="A147" s="16"/>
      <c r="B147" s="17"/>
      <c r="C147" s="17"/>
      <c r="D147" s="17"/>
      <c r="E147" s="17"/>
      <c r="F147" s="18"/>
      <c r="G147" s="17"/>
      <c r="H147" s="17"/>
      <c r="I147" s="17"/>
      <c r="J147" s="17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20"/>
      <c r="V147" s="20"/>
      <c r="W147" s="20"/>
      <c r="X147" s="21"/>
    </row>
    <row r="148" ht="20" customHeight="1" spans="1:24">
      <c r="A148" s="16"/>
      <c r="B148" s="17"/>
      <c r="C148" s="17"/>
      <c r="D148" s="17"/>
      <c r="E148" s="17"/>
      <c r="F148" s="18"/>
      <c r="G148" s="17"/>
      <c r="H148" s="17"/>
      <c r="I148" s="17"/>
      <c r="J148" s="17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20"/>
      <c r="V148" s="20"/>
      <c r="W148" s="20"/>
      <c r="X148" s="21"/>
    </row>
    <row r="149" ht="20" customHeight="1" spans="1:24">
      <c r="A149" s="16"/>
      <c r="B149" s="17"/>
      <c r="C149" s="17"/>
      <c r="D149" s="17"/>
      <c r="E149" s="17"/>
      <c r="F149" s="18"/>
      <c r="G149" s="17"/>
      <c r="H149" s="17"/>
      <c r="I149" s="17"/>
      <c r="J149" s="17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20"/>
      <c r="V149" s="20"/>
      <c r="W149" s="20"/>
      <c r="X149" s="21"/>
    </row>
    <row r="150" ht="20" customHeight="1" spans="1:24">
      <c r="A150" s="16"/>
      <c r="B150" s="17"/>
      <c r="C150" s="17"/>
      <c r="D150" s="17"/>
      <c r="E150" s="17"/>
      <c r="F150" s="18"/>
      <c r="G150" s="17"/>
      <c r="H150" s="17"/>
      <c r="I150" s="17"/>
      <c r="J150" s="17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20"/>
      <c r="V150" s="20"/>
      <c r="W150" s="20"/>
      <c r="X150" s="21"/>
    </row>
    <row r="151" ht="20" customHeight="1" spans="1:24">
      <c r="A151" s="16"/>
      <c r="B151" s="17"/>
      <c r="C151" s="17"/>
      <c r="D151" s="17"/>
      <c r="E151" s="17"/>
      <c r="F151" s="18"/>
      <c r="G151" s="17"/>
      <c r="H151" s="17"/>
      <c r="I151" s="17"/>
      <c r="J151" s="17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20"/>
      <c r="V151" s="20"/>
      <c r="W151" s="20"/>
      <c r="X151" s="21"/>
    </row>
    <row r="152" ht="20" customHeight="1" spans="1:24">
      <c r="A152" s="16"/>
      <c r="B152" s="17"/>
      <c r="C152" s="17"/>
      <c r="D152" s="17"/>
      <c r="E152" s="17"/>
      <c r="F152" s="18"/>
      <c r="G152" s="17"/>
      <c r="H152" s="17"/>
      <c r="I152" s="17"/>
      <c r="J152" s="17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20"/>
      <c r="V152" s="20"/>
      <c r="W152" s="20"/>
      <c r="X152" s="21"/>
    </row>
    <row r="153" ht="20" customHeight="1" spans="1:24">
      <c r="A153" s="16"/>
      <c r="B153" s="17"/>
      <c r="C153" s="17"/>
      <c r="D153" s="17"/>
      <c r="E153" s="17"/>
      <c r="F153" s="18"/>
      <c r="G153" s="17"/>
      <c r="H153" s="17"/>
      <c r="I153" s="17"/>
      <c r="J153" s="17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20"/>
      <c r="V153" s="20"/>
      <c r="W153" s="20"/>
      <c r="X153" s="21"/>
    </row>
    <row r="154" ht="20" customHeight="1" spans="1:24">
      <c r="A154" s="16"/>
      <c r="B154" s="17"/>
      <c r="C154" s="17"/>
      <c r="D154" s="17"/>
      <c r="E154" s="17"/>
      <c r="F154" s="18"/>
      <c r="G154" s="17"/>
      <c r="H154" s="17"/>
      <c r="I154" s="17"/>
      <c r="J154" s="17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20"/>
      <c r="V154" s="20"/>
      <c r="W154" s="20"/>
      <c r="X154" s="21"/>
    </row>
    <row r="155" ht="20" customHeight="1" spans="1:24">
      <c r="A155" s="16"/>
      <c r="B155" s="17"/>
      <c r="C155" s="17"/>
      <c r="D155" s="17"/>
      <c r="E155" s="17"/>
      <c r="F155" s="18"/>
      <c r="G155" s="17"/>
      <c r="H155" s="17"/>
      <c r="I155" s="17"/>
      <c r="J155" s="17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20"/>
      <c r="V155" s="20"/>
      <c r="W155" s="20"/>
      <c r="X155" s="21"/>
    </row>
    <row r="156" ht="20" customHeight="1" spans="1:24">
      <c r="A156" s="16"/>
      <c r="B156" s="17"/>
      <c r="C156" s="17"/>
      <c r="D156" s="17"/>
      <c r="E156" s="17"/>
      <c r="F156" s="18"/>
      <c r="G156" s="17"/>
      <c r="H156" s="17"/>
      <c r="I156" s="17"/>
      <c r="J156" s="17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20"/>
      <c r="V156" s="20"/>
      <c r="W156" s="20"/>
      <c r="X156" s="21"/>
    </row>
    <row r="157" ht="20" customHeight="1" spans="1:24">
      <c r="A157" s="16"/>
      <c r="B157" s="17"/>
      <c r="C157" s="17"/>
      <c r="D157" s="17"/>
      <c r="E157" s="17"/>
      <c r="F157" s="18"/>
      <c r="G157" s="17"/>
      <c r="H157" s="17"/>
      <c r="I157" s="17"/>
      <c r="J157" s="17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20"/>
      <c r="V157" s="20"/>
      <c r="W157" s="20"/>
      <c r="X157" s="21"/>
    </row>
    <row r="158" ht="20" customHeight="1" spans="1:24">
      <c r="A158" s="16"/>
      <c r="B158" s="17"/>
      <c r="C158" s="17"/>
      <c r="D158" s="17"/>
      <c r="E158" s="17"/>
      <c r="F158" s="18"/>
      <c r="G158" s="17"/>
      <c r="H158" s="17"/>
      <c r="I158" s="17"/>
      <c r="J158" s="17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20"/>
      <c r="V158" s="20"/>
      <c r="W158" s="20"/>
      <c r="X158" s="21"/>
    </row>
    <row r="159" ht="20" customHeight="1" spans="1:24">
      <c r="A159" s="16"/>
      <c r="B159" s="17"/>
      <c r="C159" s="17"/>
      <c r="D159" s="17"/>
      <c r="E159" s="17"/>
      <c r="F159" s="18"/>
      <c r="G159" s="17"/>
      <c r="H159" s="17"/>
      <c r="I159" s="17"/>
      <c r="J159" s="17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20"/>
      <c r="V159" s="20"/>
      <c r="W159" s="20"/>
      <c r="X159" s="21"/>
    </row>
    <row r="160" ht="20" customHeight="1" spans="1:24">
      <c r="A160" s="16"/>
      <c r="B160" s="17"/>
      <c r="C160" s="17"/>
      <c r="D160" s="17"/>
      <c r="E160" s="17"/>
      <c r="F160" s="18"/>
      <c r="G160" s="17"/>
      <c r="H160" s="17"/>
      <c r="I160" s="17"/>
      <c r="J160" s="17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20"/>
      <c r="V160" s="20"/>
      <c r="W160" s="20"/>
      <c r="X160" s="21"/>
    </row>
    <row r="161" ht="20" customHeight="1" spans="1:24">
      <c r="A161" s="16"/>
      <c r="B161" s="17"/>
      <c r="C161" s="17"/>
      <c r="D161" s="17"/>
      <c r="E161" s="17"/>
      <c r="F161" s="18"/>
      <c r="G161" s="17"/>
      <c r="H161" s="17"/>
      <c r="I161" s="17"/>
      <c r="J161" s="17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20"/>
      <c r="V161" s="20"/>
      <c r="W161" s="20"/>
      <c r="X161" s="21"/>
    </row>
    <row r="162" ht="20" customHeight="1" spans="1:24">
      <c r="A162" s="16"/>
      <c r="B162" s="17"/>
      <c r="C162" s="17"/>
      <c r="D162" s="17"/>
      <c r="E162" s="17"/>
      <c r="F162" s="18"/>
      <c r="G162" s="17"/>
      <c r="H162" s="17"/>
      <c r="I162" s="17"/>
      <c r="J162" s="17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20"/>
      <c r="V162" s="20"/>
      <c r="W162" s="20"/>
      <c r="X162" s="21"/>
    </row>
    <row r="163" ht="20" customHeight="1" spans="1:24">
      <c r="A163" s="16"/>
      <c r="B163" s="17"/>
      <c r="C163" s="17"/>
      <c r="D163" s="17"/>
      <c r="E163" s="17"/>
      <c r="F163" s="18"/>
      <c r="G163" s="17"/>
      <c r="H163" s="17"/>
      <c r="I163" s="17"/>
      <c r="J163" s="17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20"/>
      <c r="V163" s="20"/>
      <c r="W163" s="20"/>
      <c r="X163" s="21"/>
    </row>
    <row r="164" ht="20" customHeight="1" spans="1:24">
      <c r="A164" s="16"/>
      <c r="B164" s="17"/>
      <c r="C164" s="17"/>
      <c r="D164" s="17"/>
      <c r="E164" s="17"/>
      <c r="F164" s="18"/>
      <c r="G164" s="17"/>
      <c r="H164" s="17"/>
      <c r="I164" s="17"/>
      <c r="J164" s="17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20"/>
      <c r="V164" s="20"/>
      <c r="W164" s="20"/>
      <c r="X164" s="21"/>
    </row>
    <row r="165" ht="20" customHeight="1" spans="1:24">
      <c r="A165" s="16"/>
      <c r="B165" s="17"/>
      <c r="C165" s="17"/>
      <c r="D165" s="17"/>
      <c r="E165" s="17"/>
      <c r="F165" s="18"/>
      <c r="G165" s="17"/>
      <c r="H165" s="17"/>
      <c r="I165" s="17"/>
      <c r="J165" s="17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20"/>
      <c r="V165" s="20"/>
      <c r="W165" s="20"/>
      <c r="X165" s="21"/>
    </row>
    <row r="166" ht="20" customHeight="1" spans="1:24">
      <c r="A166" s="16"/>
      <c r="B166" s="17"/>
      <c r="C166" s="17"/>
      <c r="D166" s="17"/>
      <c r="E166" s="17"/>
      <c r="F166" s="18"/>
      <c r="G166" s="17"/>
      <c r="H166" s="17"/>
      <c r="I166" s="17"/>
      <c r="J166" s="17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20"/>
      <c r="V166" s="20"/>
      <c r="W166" s="20"/>
      <c r="X166" s="21"/>
    </row>
    <row r="167" ht="20" customHeight="1" spans="1:24">
      <c r="A167" s="16"/>
      <c r="B167" s="17"/>
      <c r="C167" s="17"/>
      <c r="D167" s="17"/>
      <c r="E167" s="17"/>
      <c r="F167" s="18"/>
      <c r="G167" s="17"/>
      <c r="H167" s="17"/>
      <c r="I167" s="17"/>
      <c r="J167" s="17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20"/>
      <c r="V167" s="20"/>
      <c r="W167" s="20"/>
      <c r="X167" s="21"/>
    </row>
    <row r="168" ht="20" customHeight="1" spans="1:24">
      <c r="A168" s="16"/>
      <c r="B168" s="17"/>
      <c r="C168" s="17"/>
      <c r="D168" s="17"/>
      <c r="E168" s="17"/>
      <c r="F168" s="18"/>
      <c r="G168" s="17"/>
      <c r="H168" s="17"/>
      <c r="I168" s="17"/>
      <c r="J168" s="17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20"/>
      <c r="V168" s="20"/>
      <c r="W168" s="20"/>
      <c r="X168" s="21"/>
    </row>
    <row r="169" ht="20" customHeight="1" spans="1:24">
      <c r="A169" s="16"/>
      <c r="B169" s="17"/>
      <c r="C169" s="17"/>
      <c r="D169" s="17"/>
      <c r="E169" s="17"/>
      <c r="F169" s="18"/>
      <c r="G169" s="17"/>
      <c r="H169" s="17"/>
      <c r="I169" s="17"/>
      <c r="J169" s="17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20"/>
      <c r="V169" s="20"/>
      <c r="W169" s="20"/>
      <c r="X169" s="21"/>
    </row>
    <row r="170" ht="20" customHeight="1" spans="1:24">
      <c r="A170" s="16"/>
      <c r="B170" s="17"/>
      <c r="C170" s="17"/>
      <c r="D170" s="17"/>
      <c r="E170" s="17"/>
      <c r="F170" s="18"/>
      <c r="G170" s="17"/>
      <c r="H170" s="17"/>
      <c r="I170" s="17"/>
      <c r="J170" s="17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20"/>
      <c r="V170" s="20"/>
      <c r="W170" s="20"/>
      <c r="X170" s="21"/>
    </row>
    <row r="171" ht="20" customHeight="1" spans="1:24">
      <c r="A171" s="16"/>
      <c r="B171" s="17"/>
      <c r="C171" s="17"/>
      <c r="D171" s="17"/>
      <c r="E171" s="17"/>
      <c r="F171" s="18"/>
      <c r="G171" s="17"/>
      <c r="H171" s="17"/>
      <c r="I171" s="17"/>
      <c r="J171" s="17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20"/>
      <c r="V171" s="20"/>
      <c r="W171" s="20"/>
      <c r="X171" s="21"/>
    </row>
    <row r="172" ht="20" customHeight="1" spans="1:24">
      <c r="A172" s="16"/>
      <c r="B172" s="17"/>
      <c r="C172" s="17"/>
      <c r="D172" s="17"/>
      <c r="E172" s="17"/>
      <c r="F172" s="18"/>
      <c r="G172" s="17"/>
      <c r="H172" s="17"/>
      <c r="I172" s="17"/>
      <c r="J172" s="17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20"/>
      <c r="V172" s="20"/>
      <c r="W172" s="20"/>
      <c r="X172" s="21"/>
    </row>
    <row r="173" ht="20" customHeight="1" spans="1:24">
      <c r="A173" s="16"/>
      <c r="B173" s="17"/>
      <c r="C173" s="17"/>
      <c r="D173" s="17"/>
      <c r="E173" s="17"/>
      <c r="F173" s="18"/>
      <c r="G173" s="17"/>
      <c r="H173" s="17"/>
      <c r="I173" s="17"/>
      <c r="J173" s="17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20"/>
      <c r="V173" s="20"/>
      <c r="W173" s="20"/>
      <c r="X173" s="21"/>
    </row>
    <row r="174" ht="20" customHeight="1" spans="1:24">
      <c r="A174" s="16"/>
      <c r="B174" s="17"/>
      <c r="C174" s="17"/>
      <c r="D174" s="17"/>
      <c r="E174" s="17"/>
      <c r="F174" s="18"/>
      <c r="G174" s="17"/>
      <c r="H174" s="17"/>
      <c r="I174" s="17"/>
      <c r="J174" s="17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20"/>
      <c r="V174" s="20"/>
      <c r="W174" s="20"/>
      <c r="X174" s="21"/>
    </row>
    <row r="175" ht="20" customHeight="1" spans="1:24">
      <c r="A175" s="16"/>
      <c r="B175" s="17"/>
      <c r="C175" s="17"/>
      <c r="D175" s="17"/>
      <c r="E175" s="17"/>
      <c r="F175" s="18"/>
      <c r="G175" s="17"/>
      <c r="H175" s="17"/>
      <c r="I175" s="17"/>
      <c r="J175" s="17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20"/>
      <c r="V175" s="20"/>
      <c r="W175" s="20"/>
      <c r="X175" s="21"/>
    </row>
    <row r="176" ht="20" customHeight="1" spans="1:24">
      <c r="A176" s="16"/>
      <c r="B176" s="17"/>
      <c r="C176" s="17"/>
      <c r="D176" s="17"/>
      <c r="E176" s="17"/>
      <c r="F176" s="18"/>
      <c r="G176" s="17"/>
      <c r="H176" s="17"/>
      <c r="I176" s="17"/>
      <c r="J176" s="17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20"/>
      <c r="V176" s="20"/>
      <c r="W176" s="20"/>
      <c r="X176" s="21"/>
    </row>
    <row r="177" ht="20" customHeight="1" spans="1:24">
      <c r="A177" s="16"/>
      <c r="B177" s="17"/>
      <c r="C177" s="17"/>
      <c r="D177" s="17"/>
      <c r="E177" s="17"/>
      <c r="F177" s="18"/>
      <c r="G177" s="17"/>
      <c r="H177" s="17"/>
      <c r="I177" s="17"/>
      <c r="J177" s="17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20"/>
      <c r="V177" s="20"/>
      <c r="W177" s="20"/>
      <c r="X177" s="21"/>
    </row>
    <row r="178" ht="20" customHeight="1" spans="1:24">
      <c r="A178" s="16"/>
      <c r="B178" s="17"/>
      <c r="C178" s="17"/>
      <c r="D178" s="17"/>
      <c r="E178" s="17"/>
      <c r="F178" s="18"/>
      <c r="G178" s="17"/>
      <c r="H178" s="17"/>
      <c r="I178" s="17"/>
      <c r="J178" s="17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20"/>
      <c r="V178" s="20"/>
      <c r="W178" s="20"/>
      <c r="X178" s="21"/>
    </row>
    <row r="179" ht="20" customHeight="1" spans="1:24">
      <c r="A179" s="16"/>
      <c r="B179" s="17"/>
      <c r="C179" s="17"/>
      <c r="D179" s="17"/>
      <c r="E179" s="17"/>
      <c r="F179" s="18"/>
      <c r="G179" s="17"/>
      <c r="H179" s="17"/>
      <c r="I179" s="17"/>
      <c r="J179" s="17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20"/>
      <c r="V179" s="20"/>
      <c r="W179" s="20"/>
      <c r="X179" s="21"/>
    </row>
    <row r="180" ht="20" customHeight="1" spans="1:24">
      <c r="A180" s="16"/>
      <c r="B180" s="17"/>
      <c r="C180" s="17"/>
      <c r="D180" s="17"/>
      <c r="E180" s="17"/>
      <c r="F180" s="18"/>
      <c r="G180" s="17"/>
      <c r="H180" s="17"/>
      <c r="I180" s="17"/>
      <c r="J180" s="17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20"/>
      <c r="V180" s="20"/>
      <c r="W180" s="20"/>
      <c r="X180" s="21"/>
    </row>
    <row r="181" ht="20" customHeight="1" spans="1:24">
      <c r="A181" s="16"/>
      <c r="B181" s="17"/>
      <c r="C181" s="17"/>
      <c r="D181" s="17"/>
      <c r="E181" s="17"/>
      <c r="F181" s="18"/>
      <c r="G181" s="17"/>
      <c r="H181" s="17"/>
      <c r="I181" s="17"/>
      <c r="J181" s="17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20"/>
      <c r="V181" s="20"/>
      <c r="W181" s="20"/>
      <c r="X181" s="21"/>
    </row>
    <row r="182" ht="20" customHeight="1" spans="1:24">
      <c r="A182" s="16"/>
      <c r="B182" s="17"/>
      <c r="C182" s="17"/>
      <c r="D182" s="17"/>
      <c r="E182" s="17"/>
      <c r="F182" s="18"/>
      <c r="G182" s="17"/>
      <c r="H182" s="17"/>
      <c r="I182" s="17"/>
      <c r="J182" s="17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20"/>
      <c r="V182" s="20"/>
      <c r="W182" s="20"/>
      <c r="X182" s="21"/>
    </row>
    <row r="183" ht="20" customHeight="1" spans="1:24">
      <c r="A183" s="16"/>
      <c r="B183" s="17"/>
      <c r="C183" s="17"/>
      <c r="D183" s="17"/>
      <c r="E183" s="17"/>
      <c r="F183" s="18"/>
      <c r="G183" s="17"/>
      <c r="H183" s="17"/>
      <c r="I183" s="17"/>
      <c r="J183" s="17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20"/>
      <c r="V183" s="20"/>
      <c r="W183" s="20"/>
      <c r="X183" s="21"/>
    </row>
    <row r="184" ht="20" customHeight="1" spans="1:24">
      <c r="A184" s="16"/>
      <c r="B184" s="17"/>
      <c r="C184" s="17"/>
      <c r="D184" s="17"/>
      <c r="E184" s="17"/>
      <c r="F184" s="18"/>
      <c r="G184" s="17"/>
      <c r="H184" s="17"/>
      <c r="I184" s="17"/>
      <c r="J184" s="17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20"/>
      <c r="V184" s="20"/>
      <c r="W184" s="20"/>
      <c r="X184" s="21"/>
    </row>
    <row r="185" ht="20" customHeight="1" spans="1:24">
      <c r="A185" s="16"/>
      <c r="B185" s="17"/>
      <c r="C185" s="17"/>
      <c r="D185" s="17"/>
      <c r="E185" s="17"/>
      <c r="F185" s="18"/>
      <c r="G185" s="17"/>
      <c r="H185" s="17"/>
      <c r="I185" s="17"/>
      <c r="J185" s="17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20"/>
      <c r="V185" s="20"/>
      <c r="W185" s="20"/>
      <c r="X185" s="21"/>
    </row>
    <row r="186" ht="20" customHeight="1" spans="1:24">
      <c r="A186" s="16"/>
      <c r="B186" s="17"/>
      <c r="C186" s="17"/>
      <c r="D186" s="17"/>
      <c r="E186" s="17"/>
      <c r="F186" s="18"/>
      <c r="G186" s="17"/>
      <c r="H186" s="17"/>
      <c r="I186" s="17"/>
      <c r="J186" s="17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20"/>
      <c r="V186" s="20"/>
      <c r="W186" s="20"/>
      <c r="X186" s="21"/>
    </row>
    <row r="187" ht="20" customHeight="1" spans="1:24">
      <c r="A187" s="16"/>
      <c r="B187" s="17"/>
      <c r="C187" s="17"/>
      <c r="D187" s="17"/>
      <c r="E187" s="17"/>
      <c r="F187" s="18"/>
      <c r="G187" s="17"/>
      <c r="H187" s="17"/>
      <c r="I187" s="17"/>
      <c r="J187" s="17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20"/>
      <c r="V187" s="20"/>
      <c r="W187" s="20"/>
      <c r="X187" s="21"/>
    </row>
    <row r="188" ht="20" customHeight="1" spans="1:24">
      <c r="A188" s="16"/>
      <c r="B188" s="17"/>
      <c r="C188" s="17"/>
      <c r="D188" s="17"/>
      <c r="E188" s="17"/>
      <c r="F188" s="18"/>
      <c r="G188" s="17"/>
      <c r="H188" s="17"/>
      <c r="I188" s="17"/>
      <c r="J188" s="17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20"/>
      <c r="V188" s="20"/>
      <c r="W188" s="20"/>
      <c r="X188" s="21"/>
    </row>
    <row r="189" ht="20" customHeight="1" spans="1:24">
      <c r="A189" s="16"/>
      <c r="B189" s="17"/>
      <c r="C189" s="17"/>
      <c r="D189" s="17"/>
      <c r="E189" s="17"/>
      <c r="F189" s="18"/>
      <c r="G189" s="17"/>
      <c r="H189" s="17"/>
      <c r="I189" s="17"/>
      <c r="J189" s="17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20"/>
      <c r="V189" s="20"/>
      <c r="W189" s="20"/>
      <c r="X189" s="21"/>
    </row>
    <row r="190" ht="20" customHeight="1" spans="1:24">
      <c r="A190" s="16"/>
      <c r="B190" s="17"/>
      <c r="C190" s="17"/>
      <c r="D190" s="17"/>
      <c r="E190" s="17"/>
      <c r="F190" s="18"/>
      <c r="G190" s="17"/>
      <c r="H190" s="17"/>
      <c r="I190" s="17"/>
      <c r="J190" s="17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20"/>
      <c r="V190" s="20"/>
      <c r="W190" s="20"/>
      <c r="X190" s="21"/>
    </row>
    <row r="191" ht="20" customHeight="1" spans="1:24">
      <c r="A191" s="16"/>
      <c r="B191" s="17"/>
      <c r="C191" s="17"/>
      <c r="D191" s="17"/>
      <c r="E191" s="17"/>
      <c r="F191" s="18"/>
      <c r="G191" s="17"/>
      <c r="H191" s="17"/>
      <c r="I191" s="17"/>
      <c r="J191" s="17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20"/>
      <c r="V191" s="20"/>
      <c r="W191" s="20"/>
      <c r="X191" s="21"/>
    </row>
    <row r="192" ht="20" customHeight="1" spans="1:24">
      <c r="A192" s="16"/>
      <c r="B192" s="17"/>
      <c r="C192" s="17"/>
      <c r="D192" s="17"/>
      <c r="E192" s="17"/>
      <c r="F192" s="18"/>
      <c r="G192" s="17"/>
      <c r="H192" s="17"/>
      <c r="I192" s="17"/>
      <c r="J192" s="17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20"/>
      <c r="V192" s="20"/>
      <c r="W192" s="20"/>
      <c r="X192" s="21"/>
    </row>
    <row r="193" ht="20" customHeight="1" spans="1:24">
      <c r="A193" s="16"/>
      <c r="B193" s="17"/>
      <c r="C193" s="17"/>
      <c r="D193" s="17"/>
      <c r="E193" s="17"/>
      <c r="F193" s="18"/>
      <c r="G193" s="17"/>
      <c r="H193" s="17"/>
      <c r="I193" s="17"/>
      <c r="J193" s="17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20"/>
      <c r="V193" s="20"/>
      <c r="W193" s="20"/>
      <c r="X193" s="21"/>
    </row>
    <row r="194" ht="20" customHeight="1" spans="1:24">
      <c r="A194" s="16"/>
      <c r="B194" s="17"/>
      <c r="C194" s="17"/>
      <c r="D194" s="17"/>
      <c r="E194" s="17"/>
      <c r="F194" s="18"/>
      <c r="G194" s="17"/>
      <c r="H194" s="17"/>
      <c r="I194" s="17"/>
      <c r="J194" s="17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20"/>
      <c r="V194" s="20"/>
      <c r="W194" s="20"/>
      <c r="X194" s="21"/>
    </row>
    <row r="195" ht="20" customHeight="1" spans="1:24">
      <c r="A195" s="16"/>
      <c r="B195" s="17"/>
      <c r="C195" s="17"/>
      <c r="D195" s="17"/>
      <c r="E195" s="17"/>
      <c r="F195" s="18"/>
      <c r="G195" s="17"/>
      <c r="H195" s="17"/>
      <c r="I195" s="17"/>
      <c r="J195" s="17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20"/>
      <c r="V195" s="20"/>
      <c r="W195" s="20"/>
      <c r="X195" s="21"/>
    </row>
    <row r="196" ht="20" customHeight="1" spans="1:24">
      <c r="A196" s="16"/>
      <c r="B196" s="17"/>
      <c r="C196" s="17"/>
      <c r="D196" s="17"/>
      <c r="E196" s="17"/>
      <c r="F196" s="18"/>
      <c r="G196" s="17"/>
      <c r="H196" s="17"/>
      <c r="I196" s="17"/>
      <c r="J196" s="17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20"/>
      <c r="V196" s="20"/>
      <c r="W196" s="20"/>
      <c r="X196" s="21"/>
    </row>
    <row r="197" ht="20" customHeight="1" spans="1:24">
      <c r="A197" s="16"/>
      <c r="B197" s="17"/>
      <c r="C197" s="17"/>
      <c r="D197" s="17"/>
      <c r="E197" s="17"/>
      <c r="F197" s="18"/>
      <c r="G197" s="17"/>
      <c r="H197" s="17"/>
      <c r="I197" s="17"/>
      <c r="J197" s="17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20"/>
      <c r="V197" s="20"/>
      <c r="W197" s="20"/>
      <c r="X197" s="21"/>
    </row>
    <row r="198" ht="20" customHeight="1" spans="1:24">
      <c r="A198" s="16"/>
      <c r="B198" s="17"/>
      <c r="C198" s="17"/>
      <c r="D198" s="17"/>
      <c r="E198" s="17"/>
      <c r="F198" s="18"/>
      <c r="G198" s="17"/>
      <c r="H198" s="17"/>
      <c r="I198" s="17"/>
      <c r="J198" s="17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20"/>
      <c r="V198" s="20"/>
      <c r="W198" s="20"/>
      <c r="X198" s="21"/>
    </row>
    <row r="199" ht="20" customHeight="1" spans="1:24">
      <c r="A199" s="16"/>
      <c r="B199" s="17"/>
      <c r="C199" s="17"/>
      <c r="D199" s="17"/>
      <c r="E199" s="17"/>
      <c r="F199" s="18"/>
      <c r="G199" s="17"/>
      <c r="H199" s="17"/>
      <c r="I199" s="17"/>
      <c r="J199" s="17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20"/>
      <c r="V199" s="20"/>
      <c r="W199" s="20"/>
      <c r="X199" s="21"/>
    </row>
    <row r="200" ht="20" customHeight="1" spans="1:24">
      <c r="A200" s="22"/>
      <c r="B200" s="23"/>
      <c r="C200" s="23"/>
      <c r="D200" s="23"/>
      <c r="E200" s="23"/>
      <c r="F200" s="24"/>
      <c r="G200" s="23"/>
      <c r="H200" s="23"/>
      <c r="I200" s="23"/>
      <c r="J200" s="23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6"/>
      <c r="V200" s="26"/>
      <c r="W200" s="26"/>
      <c r="X200" s="27"/>
    </row>
  </sheetData>
  <mergeCells count="2">
    <mergeCell ref="A1:X1"/>
    <mergeCell ref="A2:X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基线</vt:lpstr>
      <vt:lpstr>第1组_基础主实验</vt:lpstr>
      <vt:lpstr>第2组_结构化策略</vt:lpstr>
      <vt:lpstr>第3组_恢复策略</vt:lpstr>
      <vt:lpstr>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刘聪雲</cp:lastModifiedBy>
  <dcterms:created xsi:type="dcterms:W3CDTF">2026-04-23T03:08:22Z</dcterms:created>
  <dcterms:modified xsi:type="dcterms:W3CDTF">2026-04-23T05:12:13Z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AD34F7F480EE498797C59DDF26FF354B_12</vt:lpwstr>
  </property>
  <property fmtid="{D5CDD505-2E9C-101B-9397-08002B2CF9AE}" pid="3" name="KSOProductBuildVer">
    <vt:lpwstr>2052-12.1.0.23542</vt:lpwstr>
  </property>
</Properties>
</file>